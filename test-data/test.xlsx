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 Dashboard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pr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" sheetId="7" state="visible" r:id="rId7"/>
    <sheet xmlns:r="http://schemas.openxmlformats.org/officeDocument/2006/relationships" name="Jul" sheetId="8" state="visible" r:id="rId8"/>
    <sheet xmlns:r="http://schemas.openxmlformats.org/officeDocument/2006/relationships" name="Aug" sheetId="9" state="visible" r:id="rId9"/>
    <sheet xmlns:r="http://schemas.openxmlformats.org/officeDocument/2006/relationships" name="Sep" sheetId="10" state="visible" r:id="rId10"/>
    <sheet xmlns:r="http://schemas.openxmlformats.org/officeDocument/2006/relationships" name="Oct" sheetId="11" state="visible" r:id="rId11"/>
    <sheet xmlns:r="http://schemas.openxmlformats.org/officeDocument/2006/relationships" name="Nov" sheetId="12" state="visible" r:id="rId12"/>
    <sheet xmlns:r="http://schemas.openxmlformats.org/officeDocument/2006/relationships" name="Dec" sheetId="13" state="visible" r:id="rId13"/>
  </sheets>
  <definedNames/>
  <calcPr calcId="124519" fullCalcOnLoad="1"/>
  <pivotCaches>
    <pivotCache xmlns:r="http://schemas.openxmlformats.org/officeDocument/2006/relationships" cacheId="0" r:id="rId14"/>
  </pivotCache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/d/yyyy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rgb="FFFFFFFF"/>
      <sz val="14"/>
    </font>
    <font>
      <name val="Montserrat"/>
      <b val="1"/>
      <color theme="1"/>
      <sz val="12"/>
    </font>
    <font>
      <name val="Montserrat"/>
      <b val="1"/>
      <color rgb="FFFFFFFF"/>
    </font>
    <font>
      <name val="Roboto"/>
      <color theme="1"/>
    </font>
  </fonts>
  <fills count="3">
    <fill>
      <patternFill/>
    </fill>
    <fill>
      <patternFill patternType="lightGray"/>
    </fill>
    <fill>
      <patternFill patternType="solid">
        <fgColor rgb="FF3B6939"/>
        <bgColor rgb="FF3B6939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0" borderId="0" pivotButton="0" quotePrefix="0" xfId="0"/>
    <xf numFmtId="0" fontId="4" fillId="2" borderId="0" pivotButton="0" quotePrefix="0" xfId="0"/>
    <xf numFmtId="165" fontId="5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 val="1"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 defaultTableStyle="TableStyleMedium9" defaultPivotStyle="PivotStyleLight16">
    <tableStyle name="Google Sheets Pivot Table Style" table="0" count="12">
      <tableStyleElement type="wholeTable" dxfId="1"/>
      <tableStyleElement type="firstRowSubheading" dxfId="2"/>
      <tableStyleElement type="secondRowSubheading" dxfId="2"/>
      <tableStyleElement type="thirdRowSubheading" dxfId="2"/>
      <tableStyleElement type="firstColumnSubheading" dxfId="3"/>
      <tableStyleElement type="secondColumnSubheading" dxfId="3"/>
      <tableStyleElement type="thirdColumnSubheading" dxfId="3"/>
      <tableStyleElement type="headerRow" dxfId="3"/>
      <tableStyleElement type="firstSubtotalRow" dxfId="4"/>
      <tableStyleElement type="secondSubtotalRow" dxfId="4"/>
      <tableStyleElement type="thirdSubtotalRow" dxfId="4"/>
      <tableStyleElement type="totalRow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pivotCacheDefinition" Target="/xl/pivotCache/pivotCacheDefinition1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Spending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'Summary Dashboard'!$E$7:$E$18</f>
            </strRef>
          </cat>
          <val>
            <numRef>
              <f>'Summary Dashboard'!$F$7:$F$18</f>
              <numCache/>
            </numRef>
          </val>
        </ser>
        <gapWidth val="150"/>
        <axId val="1719917085"/>
        <axId val="2018263275"/>
      </barChart>
      <catAx>
        <axId val="171991708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18263275"/>
        <lblOffset val="100"/>
      </catAx>
      <valAx>
        <axId val="201826327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19917085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Category Breakdown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6D01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46BDC6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7BAAF7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'Summary Dashboard'!$B$8:$B$14</f>
            </strRef>
          </cat>
          <val>
            <numRef>
              <f>'Summary Dashboard'!$C$8:$C$14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3810000" cy="2857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14</col>
      <colOff>0</colOff>
      <row>1</row>
      <rowOff>0</rowOff>
    </from>
    <ext cx="3810000" cy="28575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0</col>
      <colOff>0</colOff>
      <row>55</row>
      <rowOff>0</rowOff>
    </from>
    <ext cx="28575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28575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</row>
      <rowOff>0</rowOff>
    </from>
    <ext cx="28575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pivotCache/pivotCacheDefinition1.xml><?xml version="1.0" encoding="utf-8"?>
<pivotCacheDefinition xmlns="http://schemas.openxmlformats.org/spreadsheetml/2006/main" invalid="1" refreshOnLoad="1">
  <cacheSource type="worksheet">
    <worksheetSource ref="M1:R100" sheet="Summary Dashboard"/>
  </cacheSource>
  <cacheFields count="6">
    <cacheField name="Date" uniqueList="1" numFmtId="0" sqlType="0" hierarchy="0" level="0" databaseField="1">
      <sharedItems count="52" containsBlank="1">
        <s v="5/1/2026"/>
        <s v="12/1/2026"/>
        <s v="1/18/2026"/>
        <s v="1/25/2026"/>
        <s v="1/29/2026"/>
        <s v="2/2/2026"/>
        <s v="10/2/2026"/>
        <s v="2/15/2026"/>
        <s v="2/20/2026"/>
        <s v="5/3/2026"/>
        <s v="12/3/2026"/>
        <s v="3/18/2026"/>
        <s v="3/22/2026"/>
        <s v="2/4/2026"/>
        <s v="10/4/2026"/>
        <s v="4/15/2026"/>
        <s v="4/25/2026"/>
        <s v="1/5/2026"/>
        <s v="8/5/2026"/>
        <s v="5/15/2026"/>
        <s v="5/20/2026"/>
        <s v="5/6/2026"/>
        <s v="12/6/2026"/>
        <s v="6/18/2026"/>
        <s v="6/25/2026"/>
        <s v="3/7/2026"/>
        <s v="10/7/2026"/>
        <s v="7/15/2026"/>
        <s v="7/22/2026"/>
        <s v="2/8/2026"/>
        <s v="9/8/2026"/>
        <s v="8/15/2026"/>
        <s v="8/20/2026"/>
        <s v="8/28/2026"/>
        <s v="5/9/2026"/>
        <s v="12/9/2026"/>
        <s v="9/18/2026"/>
        <s v="9/25/2026"/>
        <s v="2/10/2026"/>
        <s v="10/10/2026"/>
        <s v="10/15/2026"/>
        <s v="10/22/2026"/>
        <s v="1/11/2026"/>
        <s v="8/11/2026"/>
        <s v="11/15/2026"/>
        <s v="11/20/2026"/>
        <s v="5/12/2026"/>
        <s v="12/12/2026"/>
        <s v="12/18/2026"/>
        <s v="12/22/2026"/>
        <s v="12/28/2026"/>
        <m/>
      </sharedItems>
    </cacheField>
    <cacheField name="Item Name" uniqueList="1" numFmtId="0" sqlType="0" hierarchy="0" level="0" databaseField="1">
      <sharedItems count="35" containsBlank="1">
        <s v="Milk (1 Gal)"/>
        <s v="Electricity Bill"/>
        <s v="Paper Towels"/>
        <s v="Apples"/>
        <s v="Light Bulbs"/>
        <s v="Water Bill"/>
        <s v="Bread"/>
        <s v="Internet"/>
        <s v="Chicken Breast"/>
        <s v="Gas Bill"/>
        <s v="Laundry Detergent"/>
        <s v="Eggs (1 Dozen)"/>
        <s v="Trash Bags"/>
        <s v="Toothpaste"/>
        <s v="Bananas"/>
        <s v="Coffee Beans"/>
        <s v="Dish Soap"/>
        <s v="Beef Mince"/>
        <s v="Shampoo"/>
        <s v="Batteries (AA)"/>
        <s v="Sunscreen"/>
        <s v="Pasta"/>
        <s v="Cereal"/>
        <s v="Toilet Paper"/>
        <s v="HDMI Cable"/>
        <s v="Hand Soap"/>
        <s v="Air Filters"/>
        <s v="Halloween Candy"/>
        <s v="Sponges"/>
        <s v="Turkey"/>
        <s v="Tissues"/>
        <s v="Wrapping Paper"/>
        <s v="Potatoes"/>
        <s v="Batteries (AAA)"/>
        <m/>
      </sharedItems>
    </cacheField>
    <cacheField name="Category" uniqueList="1" numFmtId="0" sqlType="0" hierarchy="0" level="0" databaseField="1">
      <sharedItems count="8" containsBlank="1">
        <s v="Groceries"/>
        <s v="Utilities"/>
        <s v="Household"/>
        <s v="Maintenance"/>
        <s v="Personal Care"/>
        <s v="Electronics"/>
        <s v="Miscellaneous"/>
        <m/>
      </sharedItems>
    </cacheField>
    <cacheField name="Quantity" uniqueList="1" numFmtId="0" sqlType="0" hierarchy="0" level="0" databaseField="1">
      <sharedItems count="7" containsBlank="1" containsInteger="1" containsNumber="1" containsString="0">
        <n v="2"/>
        <n v="1"/>
        <n v="5"/>
        <n v="3"/>
        <n v="6"/>
        <n v="4"/>
        <m/>
      </sharedItems>
    </cacheField>
    <cacheField name="Unit Price" uniqueList="1" numFmtId="164" sqlType="0" hierarchy="0" level="0" databaseField="1">
      <sharedItems count="34" containsBlank="1" containsNumber="1" containsString="0">
        <n v="3.5"/>
        <n v="120"/>
        <n v="15"/>
        <n v="0.8"/>
        <n v="12.5"/>
        <n v="45"/>
        <n v="2.5"/>
        <n v="60"/>
        <n v="8"/>
        <n v="80"/>
        <n v="18"/>
        <n v="4"/>
        <n v="10"/>
        <n v="115"/>
        <n v="4.5"/>
        <n v="0.5"/>
        <n v="48"/>
        <n v="14"/>
        <n v="35"/>
        <n v="7.5"/>
        <n v="6"/>
        <n v="150"/>
        <n v="12"/>
        <n v="1.5"/>
        <n v="55"/>
        <n v="20"/>
        <n v="40"/>
        <n v="3"/>
        <n v="110"/>
        <n v="5"/>
        <n v="25"/>
        <n v="95"/>
        <n v="130"/>
        <m/>
      </sharedItems>
    </cacheField>
    <cacheField name="Total Cost" uniqueList="1" numFmtId="164" sqlType="0" hierarchy="0" level="0" databaseField="1">
      <sharedItems count="32" containsBlank="1" containsNumber="1" containsString="0">
        <n v="7"/>
        <n v="120"/>
        <n v="15"/>
        <n v="4"/>
        <n v="12.5"/>
        <n v="45"/>
        <n v="7.5"/>
        <n v="60"/>
        <n v="16"/>
        <n v="80"/>
        <n v="18"/>
        <n v="8"/>
        <n v="10"/>
        <n v="115"/>
        <n v="9"/>
        <n v="3"/>
        <n v="48"/>
        <n v="14"/>
        <n v="35"/>
        <n v="6"/>
        <n v="150"/>
        <n v="12"/>
        <n v="55"/>
        <n v="20"/>
        <n v="40"/>
        <n v="30"/>
        <n v="110"/>
        <n v="5"/>
        <n v="25"/>
        <n v="95"/>
        <n v="130"/>
        <m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Summary Dashboard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B6:C15" firstHeaderRow="0" firstDataRow="1" firstDataCol="0"/>
  <pivotFields count="6">
    <pivotField name="Date" showDropDowns="1" compact="0" outline="0" subtotalTop="1" dragToRow="1" dragToCol="1" multipleItemSelectionAllowed="1" dragToPage="1" dragToData="1" dragOff="1" showAll="0" topAutoShow="1" itemPageCount="10" sortType="manual" defaultSubtotal="1">
      <items count="5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efault" sd="1"/>
      </items>
    </pivotField>
    <pivotField name="Item Name" showDropDowns="1" compact="0" outline="0" subtotalTop="1" dragToRow="1" dragToCol="1" multipleItemSelectionAllowed="1" dragToPage="1" dragToData="1" dragOff="1" showAll="0" topAutoShow="1" itemPageCount="10" sortType="manual" defaultSubtotal="1">
      <items count="3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efault" sd="1"/>
      </items>
    </pivotField>
    <pivotField name="Category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9">
        <item t="data" sd="1" x="7"/>
        <item t="data" sd="1" x="5"/>
        <item t="data" sd="1" x="0"/>
        <item t="data" sd="1" x="2"/>
        <item t="data" sd="1" x="3"/>
        <item t="data" sd="1" x="6"/>
        <item t="data" sd="1" x="4"/>
        <item t="data" sd="1" x="1"/>
        <item t="default" sd="1"/>
      </items>
    </pivotField>
    <pivotField name="Quantity" showDropDowns="1" compact="0" outline="0" subtotalTop="1" dragToRow="1" dragToCol="1" multipleItemSelectionAllowed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name="Unit Price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3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efault" sd="1"/>
      </items>
    </pivotField>
    <pivotField name="Total Cost" dataField="1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3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efault" sd="1"/>
      </items>
    </pivotField>
  </pivotFields>
  <rowFields count="1">
    <field x="2"/>
  </rowFields>
  <dataFields count="1">
    <dataField name="SUM of Total Cost" fld="5" subtotal="sum" showDataAs="normal" baseField="0" baseItem="1048832"/>
  </dataFields>
  <pivotTableStyleInfo name="Google Sheets Pivot Table Style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R52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15" min="13" max="18"/>
  </cols>
  <sheetData>
    <row r="1">
      <c r="M1" s="3" t="inlineStr">
        <is>
          <t>Date</t>
        </is>
      </c>
      <c r="N1" s="3" t="inlineStr">
        <is>
          <t>Item Name</t>
        </is>
      </c>
      <c r="O1" s="3" t="inlineStr">
        <is>
          <t>Category</t>
        </is>
      </c>
      <c r="P1" s="3" t="inlineStr">
        <is>
          <t>Quantity</t>
        </is>
      </c>
      <c r="Q1" s="3" t="inlineStr">
        <is>
          <t>Unit Price</t>
        </is>
      </c>
      <c r="R1" s="3" t="inlineStr">
        <is>
          <t>Total Cost</t>
        </is>
      </c>
    </row>
    <row r="2">
      <c r="B2" s="2" t="inlineStr">
        <is>
          <t>Household Purchase Summary Dashboard</t>
        </is>
      </c>
      <c r="M2" s="3">
        <f>IFERROR(__xludf.DUMMYFUNCTION("QUERY({Jan!B3:G100; Feb!B3:G100; Mar!B3:G100; Apr!B3:G100; May!B3:G100; Jun!B3:G100; Jul!B3:G100; Aug!B3:G100; Sep!B3:G100; Oct!B3:G100; Nov!B3:G100; Dec!B3:G100}, ""select * where Col1 is not null"")"),"5/1/2026")</f>
        <v/>
      </c>
      <c r="N2" s="3">
        <f>IFERROR(__xludf.DUMMYFUNCTION("""COMPUTED_VALUE"""),"Milk (1 Gal)")</f>
        <v/>
      </c>
      <c r="O2" s="3">
        <f>IFERROR(__xludf.DUMMYFUNCTION("""COMPUTED_VALUE"""),"Groceries")</f>
        <v/>
      </c>
      <c r="P2" s="3">
        <f>IFERROR(__xludf.DUMMYFUNCTION("""COMPUTED_VALUE"""),2.0)</f>
        <v/>
      </c>
      <c r="Q2" s="6">
        <f>IFERROR(__xludf.DUMMYFUNCTION("""COMPUTED_VALUE"""),3.5)</f>
        <v/>
      </c>
      <c r="R2" s="6">
        <f>IFERROR(__xludf.DUMMYFUNCTION("""COMPUTED_VALUE"""),7.0)</f>
        <v/>
      </c>
    </row>
    <row r="3">
      <c r="M3" s="3">
        <f>IFERROR(__xludf.DUMMYFUNCTION("""COMPUTED_VALUE"""),"12/1/2026")</f>
        <v/>
      </c>
      <c r="N3" s="3">
        <f>IFERROR(__xludf.DUMMYFUNCTION("""COMPUTED_VALUE"""),"Electricity Bill")</f>
        <v/>
      </c>
      <c r="O3" s="3">
        <f>IFERROR(__xludf.DUMMYFUNCTION("""COMPUTED_VALUE"""),"Utilities")</f>
        <v/>
      </c>
      <c r="P3" s="3">
        <f>IFERROR(__xludf.DUMMYFUNCTION("""COMPUTED_VALUE"""),1.0)</f>
        <v/>
      </c>
      <c r="Q3" s="6">
        <f>IFERROR(__xludf.DUMMYFUNCTION("""COMPUTED_VALUE"""),120.0)</f>
        <v/>
      </c>
      <c r="R3" s="6">
        <f>IFERROR(__xludf.DUMMYFUNCTION("""COMPUTED_VALUE"""),120.0)</f>
        <v/>
      </c>
    </row>
    <row r="4">
      <c r="B4" s="5" t="inlineStr">
        <is>
          <t>Category Pivot Table</t>
        </is>
      </c>
      <c r="E4" s="5" t="inlineStr">
        <is>
          <t>Monthly Spending</t>
        </is>
      </c>
      <c r="M4" s="3">
        <f>IFERROR(__xludf.DUMMYFUNCTION("""COMPUTED_VALUE"""),"1/18/2026")</f>
        <v/>
      </c>
      <c r="N4" s="3">
        <f>IFERROR(__xludf.DUMMYFUNCTION("""COMPUTED_VALUE"""),"Paper Towels")</f>
        <v/>
      </c>
      <c r="O4" s="3">
        <f>IFERROR(__xludf.DUMMYFUNCTION("""COMPUTED_VALUE"""),"Household")</f>
        <v/>
      </c>
      <c r="P4" s="3">
        <f>IFERROR(__xludf.DUMMYFUNCTION("""COMPUTED_VALUE"""),1.0)</f>
        <v/>
      </c>
      <c r="Q4" s="6">
        <f>IFERROR(__xludf.DUMMYFUNCTION("""COMPUTED_VALUE"""),15.0)</f>
        <v/>
      </c>
      <c r="R4" s="6">
        <f>IFERROR(__xludf.DUMMYFUNCTION("""COMPUTED_VALUE"""),15.0)</f>
        <v/>
      </c>
    </row>
    <row r="5">
      <c r="M5" s="3">
        <f>IFERROR(__xludf.DUMMYFUNCTION("""COMPUTED_VALUE"""),"1/25/2026")</f>
        <v/>
      </c>
      <c r="N5" s="3">
        <f>IFERROR(__xludf.DUMMYFUNCTION("""COMPUTED_VALUE"""),"Apples")</f>
        <v/>
      </c>
      <c r="O5" s="3">
        <f>IFERROR(__xludf.DUMMYFUNCTION("""COMPUTED_VALUE"""),"Groceries")</f>
        <v/>
      </c>
      <c r="P5" s="3">
        <f>IFERROR(__xludf.DUMMYFUNCTION("""COMPUTED_VALUE"""),5.0)</f>
        <v/>
      </c>
      <c r="Q5" s="6">
        <f>IFERROR(__xludf.DUMMYFUNCTION("""COMPUTED_VALUE"""),0.8)</f>
        <v/>
      </c>
      <c r="R5" s="6">
        <f>IFERROR(__xludf.DUMMYFUNCTION("""COMPUTED_VALUE"""),4.0)</f>
        <v/>
      </c>
    </row>
    <row r="6">
      <c r="E6" s="3" t="inlineStr">
        <is>
          <t>Month</t>
        </is>
      </c>
      <c r="F6" s="3" t="inlineStr">
        <is>
          <t>Total Spending</t>
        </is>
      </c>
      <c r="M6" s="3">
        <f>IFERROR(__xludf.DUMMYFUNCTION("""COMPUTED_VALUE"""),"1/29/2026")</f>
        <v/>
      </c>
      <c r="N6" s="3">
        <f>IFERROR(__xludf.DUMMYFUNCTION("""COMPUTED_VALUE"""),"Light Bulbs")</f>
        <v/>
      </c>
      <c r="O6" s="3">
        <f>IFERROR(__xludf.DUMMYFUNCTION("""COMPUTED_VALUE"""),"Maintenance")</f>
        <v/>
      </c>
      <c r="P6" s="3">
        <f>IFERROR(__xludf.DUMMYFUNCTION("""COMPUTED_VALUE"""),1.0)</f>
        <v/>
      </c>
      <c r="Q6" s="6">
        <f>IFERROR(__xludf.DUMMYFUNCTION("""COMPUTED_VALUE"""),12.5)</f>
        <v/>
      </c>
      <c r="R6" s="6">
        <f>IFERROR(__xludf.DUMMYFUNCTION("""COMPUTED_VALUE"""),12.5)</f>
        <v/>
      </c>
    </row>
    <row r="7">
      <c r="E7" s="3" t="inlineStr">
        <is>
          <t>Jan</t>
        </is>
      </c>
      <c r="F7" s="6">
        <f>SUM(Jan!G3:G100)</f>
        <v/>
      </c>
      <c r="M7" s="3">
        <f>IFERROR(__xludf.DUMMYFUNCTION("""COMPUTED_VALUE"""),"2/2/2026")</f>
        <v/>
      </c>
      <c r="N7" s="3">
        <f>IFERROR(__xludf.DUMMYFUNCTION("""COMPUTED_VALUE"""),"Water Bill")</f>
        <v/>
      </c>
      <c r="O7" s="3">
        <f>IFERROR(__xludf.DUMMYFUNCTION("""COMPUTED_VALUE"""),"Utilities")</f>
        <v/>
      </c>
      <c r="P7" s="3">
        <f>IFERROR(__xludf.DUMMYFUNCTION("""COMPUTED_VALUE"""),1.0)</f>
        <v/>
      </c>
      <c r="Q7" s="6">
        <f>IFERROR(__xludf.DUMMYFUNCTION("""COMPUTED_VALUE"""),45.0)</f>
        <v/>
      </c>
      <c r="R7" s="6">
        <f>IFERROR(__xludf.DUMMYFUNCTION("""COMPUTED_VALUE"""),45.0)</f>
        <v/>
      </c>
    </row>
    <row r="8">
      <c r="E8" s="3" t="inlineStr">
        <is>
          <t>Feb</t>
        </is>
      </c>
      <c r="F8" s="6">
        <f>SUM(Feb!G3:G100)</f>
        <v/>
      </c>
      <c r="M8" s="3">
        <f>IFERROR(__xludf.DUMMYFUNCTION("""COMPUTED_VALUE"""),"10/2/2026")</f>
        <v/>
      </c>
      <c r="N8" s="3">
        <f>IFERROR(__xludf.DUMMYFUNCTION("""COMPUTED_VALUE"""),"Bread")</f>
        <v/>
      </c>
      <c r="O8" s="3">
        <f>IFERROR(__xludf.DUMMYFUNCTION("""COMPUTED_VALUE"""),"Groceries")</f>
        <v/>
      </c>
      <c r="P8" s="3">
        <f>IFERROR(__xludf.DUMMYFUNCTION("""COMPUTED_VALUE"""),3.0)</f>
        <v/>
      </c>
      <c r="Q8" s="6">
        <f>IFERROR(__xludf.DUMMYFUNCTION("""COMPUTED_VALUE"""),2.5)</f>
        <v/>
      </c>
      <c r="R8" s="6">
        <f>IFERROR(__xludf.DUMMYFUNCTION("""COMPUTED_VALUE"""),7.5)</f>
        <v/>
      </c>
    </row>
    <row r="9">
      <c r="E9" s="3" t="inlineStr">
        <is>
          <t>Mar</t>
        </is>
      </c>
      <c r="F9" s="6">
        <f>SUM(Mar!G3:G100)</f>
        <v/>
      </c>
      <c r="M9" s="3">
        <f>IFERROR(__xludf.DUMMYFUNCTION("""COMPUTED_VALUE"""),"2/15/2026")</f>
        <v/>
      </c>
      <c r="N9" s="3">
        <f>IFERROR(__xludf.DUMMYFUNCTION("""COMPUTED_VALUE"""),"Internet")</f>
        <v/>
      </c>
      <c r="O9" s="3">
        <f>IFERROR(__xludf.DUMMYFUNCTION("""COMPUTED_VALUE"""),"Utilities")</f>
        <v/>
      </c>
      <c r="P9" s="3">
        <f>IFERROR(__xludf.DUMMYFUNCTION("""COMPUTED_VALUE"""),1.0)</f>
        <v/>
      </c>
      <c r="Q9" s="6">
        <f>IFERROR(__xludf.DUMMYFUNCTION("""COMPUTED_VALUE"""),60.0)</f>
        <v/>
      </c>
      <c r="R9" s="6">
        <f>IFERROR(__xludf.DUMMYFUNCTION("""COMPUTED_VALUE"""),60.0)</f>
        <v/>
      </c>
    </row>
    <row r="10">
      <c r="E10" s="3" t="inlineStr">
        <is>
          <t>Apr</t>
        </is>
      </c>
      <c r="F10" s="6">
        <f>SUM(Apr!G3:G100)</f>
        <v/>
      </c>
      <c r="M10" s="3">
        <f>IFERROR(__xludf.DUMMYFUNCTION("""COMPUTED_VALUE"""),"2/20/2026")</f>
        <v/>
      </c>
      <c r="N10" s="3">
        <f>IFERROR(__xludf.DUMMYFUNCTION("""COMPUTED_VALUE"""),"Chicken Breast")</f>
        <v/>
      </c>
      <c r="O10" s="3">
        <f>IFERROR(__xludf.DUMMYFUNCTION("""COMPUTED_VALUE"""),"Groceries")</f>
        <v/>
      </c>
      <c r="P10" s="3">
        <f>IFERROR(__xludf.DUMMYFUNCTION("""COMPUTED_VALUE"""),2.0)</f>
        <v/>
      </c>
      <c r="Q10" s="6">
        <f>IFERROR(__xludf.DUMMYFUNCTION("""COMPUTED_VALUE"""),8.0)</f>
        <v/>
      </c>
      <c r="R10" s="6">
        <f>IFERROR(__xludf.DUMMYFUNCTION("""COMPUTED_VALUE"""),16.0)</f>
        <v/>
      </c>
    </row>
    <row r="11">
      <c r="E11" s="3" t="inlineStr">
        <is>
          <t>May</t>
        </is>
      </c>
      <c r="F11" s="6">
        <f>SUM(May!G3:G100)</f>
        <v/>
      </c>
      <c r="M11" s="3">
        <f>IFERROR(__xludf.DUMMYFUNCTION("""COMPUTED_VALUE"""),"5/3/2026")</f>
        <v/>
      </c>
      <c r="N11" s="3">
        <f>IFERROR(__xludf.DUMMYFUNCTION("""COMPUTED_VALUE"""),"Gas Bill")</f>
        <v/>
      </c>
      <c r="O11" s="3">
        <f>IFERROR(__xludf.DUMMYFUNCTION("""COMPUTED_VALUE"""),"Utilities")</f>
        <v/>
      </c>
      <c r="P11" s="3">
        <f>IFERROR(__xludf.DUMMYFUNCTION("""COMPUTED_VALUE"""),1.0)</f>
        <v/>
      </c>
      <c r="Q11" s="6">
        <f>IFERROR(__xludf.DUMMYFUNCTION("""COMPUTED_VALUE"""),80.0)</f>
        <v/>
      </c>
      <c r="R11" s="6">
        <f>IFERROR(__xludf.DUMMYFUNCTION("""COMPUTED_VALUE"""),80.0)</f>
        <v/>
      </c>
    </row>
    <row r="12">
      <c r="E12" s="3" t="inlineStr">
        <is>
          <t>Jun</t>
        </is>
      </c>
      <c r="F12" s="6">
        <f>SUM(Jun!G3:G100)</f>
        <v/>
      </c>
      <c r="M12" s="3">
        <f>IFERROR(__xludf.DUMMYFUNCTION("""COMPUTED_VALUE"""),"12/3/2026")</f>
        <v/>
      </c>
      <c r="N12" s="3">
        <f>IFERROR(__xludf.DUMMYFUNCTION("""COMPUTED_VALUE"""),"Laundry Detergent")</f>
        <v/>
      </c>
      <c r="O12" s="3">
        <f>IFERROR(__xludf.DUMMYFUNCTION("""COMPUTED_VALUE"""),"Household")</f>
        <v/>
      </c>
      <c r="P12" s="3">
        <f>IFERROR(__xludf.DUMMYFUNCTION("""COMPUTED_VALUE"""),1.0)</f>
        <v/>
      </c>
      <c r="Q12" s="6">
        <f>IFERROR(__xludf.DUMMYFUNCTION("""COMPUTED_VALUE"""),18.0)</f>
        <v/>
      </c>
      <c r="R12" s="6">
        <f>IFERROR(__xludf.DUMMYFUNCTION("""COMPUTED_VALUE"""),18.0)</f>
        <v/>
      </c>
    </row>
    <row r="13">
      <c r="E13" s="3" t="inlineStr">
        <is>
          <t>Jul</t>
        </is>
      </c>
      <c r="F13" s="6">
        <f>SUM(Jul!G3:G100)</f>
        <v/>
      </c>
      <c r="M13" s="3">
        <f>IFERROR(__xludf.DUMMYFUNCTION("""COMPUTED_VALUE"""),"3/18/2026")</f>
        <v/>
      </c>
      <c r="N13" s="3">
        <f>IFERROR(__xludf.DUMMYFUNCTION("""COMPUTED_VALUE"""),"Eggs (1 Dozen)")</f>
        <v/>
      </c>
      <c r="O13" s="3">
        <f>IFERROR(__xludf.DUMMYFUNCTION("""COMPUTED_VALUE"""),"Groceries")</f>
        <v/>
      </c>
      <c r="P13" s="3">
        <f>IFERROR(__xludf.DUMMYFUNCTION("""COMPUTED_VALUE"""),2.0)</f>
        <v/>
      </c>
      <c r="Q13" s="6">
        <f>IFERROR(__xludf.DUMMYFUNCTION("""COMPUTED_VALUE"""),4.0)</f>
        <v/>
      </c>
      <c r="R13" s="6">
        <f>IFERROR(__xludf.DUMMYFUNCTION("""COMPUTED_VALUE"""),8.0)</f>
        <v/>
      </c>
    </row>
    <row r="14">
      <c r="E14" s="3" t="inlineStr">
        <is>
          <t>Aug</t>
        </is>
      </c>
      <c r="F14" s="6">
        <f>SUM(Aug!G3:G100)</f>
        <v/>
      </c>
      <c r="M14" s="3">
        <f>IFERROR(__xludf.DUMMYFUNCTION("""COMPUTED_VALUE"""),"3/22/2026")</f>
        <v/>
      </c>
      <c r="N14" s="3">
        <f>IFERROR(__xludf.DUMMYFUNCTION("""COMPUTED_VALUE"""),"Trash Bags")</f>
        <v/>
      </c>
      <c r="O14" s="3">
        <f>IFERROR(__xludf.DUMMYFUNCTION("""COMPUTED_VALUE"""),"Household")</f>
        <v/>
      </c>
      <c r="P14" s="3">
        <f>IFERROR(__xludf.DUMMYFUNCTION("""COMPUTED_VALUE"""),1.0)</f>
        <v/>
      </c>
      <c r="Q14" s="6">
        <f>IFERROR(__xludf.DUMMYFUNCTION("""COMPUTED_VALUE"""),10.0)</f>
        <v/>
      </c>
      <c r="R14" s="6">
        <f>IFERROR(__xludf.DUMMYFUNCTION("""COMPUTED_VALUE"""),10.0)</f>
        <v/>
      </c>
    </row>
    <row r="15">
      <c r="E15" s="3" t="inlineStr">
        <is>
          <t>Sep</t>
        </is>
      </c>
      <c r="F15" s="6">
        <f>SUM(Sep!G3:G100)</f>
        <v/>
      </c>
      <c r="M15" s="3">
        <f>IFERROR(__xludf.DUMMYFUNCTION("""COMPUTED_VALUE"""),"2/4/2026")</f>
        <v/>
      </c>
      <c r="N15" s="3">
        <f>IFERROR(__xludf.DUMMYFUNCTION("""COMPUTED_VALUE"""),"Milk (1 Gal)")</f>
        <v/>
      </c>
      <c r="O15" s="3">
        <f>IFERROR(__xludf.DUMMYFUNCTION("""COMPUTED_VALUE"""),"Groceries")</f>
        <v/>
      </c>
      <c r="P15" s="3">
        <f>IFERROR(__xludf.DUMMYFUNCTION("""COMPUTED_VALUE"""),2.0)</f>
        <v/>
      </c>
      <c r="Q15" s="6">
        <f>IFERROR(__xludf.DUMMYFUNCTION("""COMPUTED_VALUE"""),3.5)</f>
        <v/>
      </c>
      <c r="R15" s="6">
        <f>IFERROR(__xludf.DUMMYFUNCTION("""COMPUTED_VALUE"""),7.0)</f>
        <v/>
      </c>
    </row>
    <row r="16">
      <c r="E16" s="3" t="inlineStr">
        <is>
          <t>Oct</t>
        </is>
      </c>
      <c r="F16" s="6">
        <f>SUM(Oct!G3:G100)</f>
        <v/>
      </c>
      <c r="M16" s="3">
        <f>IFERROR(__xludf.DUMMYFUNCTION("""COMPUTED_VALUE"""),"10/4/2026")</f>
        <v/>
      </c>
      <c r="N16" s="3">
        <f>IFERROR(__xludf.DUMMYFUNCTION("""COMPUTED_VALUE"""),"Electricity Bill")</f>
        <v/>
      </c>
      <c r="O16" s="3">
        <f>IFERROR(__xludf.DUMMYFUNCTION("""COMPUTED_VALUE"""),"Utilities")</f>
        <v/>
      </c>
      <c r="P16" s="3">
        <f>IFERROR(__xludf.DUMMYFUNCTION("""COMPUTED_VALUE"""),1.0)</f>
        <v/>
      </c>
      <c r="Q16" s="6">
        <f>IFERROR(__xludf.DUMMYFUNCTION("""COMPUTED_VALUE"""),115.0)</f>
        <v/>
      </c>
      <c r="R16" s="6">
        <f>IFERROR(__xludf.DUMMYFUNCTION("""COMPUTED_VALUE"""),115.0)</f>
        <v/>
      </c>
    </row>
    <row r="17">
      <c r="E17" s="3" t="inlineStr">
        <is>
          <t>Nov</t>
        </is>
      </c>
      <c r="F17" s="6">
        <f>SUM(Nov!G3:G100)</f>
        <v/>
      </c>
      <c r="M17" s="3">
        <f>IFERROR(__xludf.DUMMYFUNCTION("""COMPUTED_VALUE"""),"4/15/2026")</f>
        <v/>
      </c>
      <c r="N17" s="3">
        <f>IFERROR(__xludf.DUMMYFUNCTION("""COMPUTED_VALUE"""),"Toothpaste")</f>
        <v/>
      </c>
      <c r="O17" s="3">
        <f>IFERROR(__xludf.DUMMYFUNCTION("""COMPUTED_VALUE"""),"Personal Care")</f>
        <v/>
      </c>
      <c r="P17" s="3">
        <f>IFERROR(__xludf.DUMMYFUNCTION("""COMPUTED_VALUE"""),2.0)</f>
        <v/>
      </c>
      <c r="Q17" s="6">
        <f>IFERROR(__xludf.DUMMYFUNCTION("""COMPUTED_VALUE"""),4.5)</f>
        <v/>
      </c>
      <c r="R17" s="6">
        <f>IFERROR(__xludf.DUMMYFUNCTION("""COMPUTED_VALUE"""),9.0)</f>
        <v/>
      </c>
    </row>
    <row r="18">
      <c r="E18" s="3" t="inlineStr">
        <is>
          <t>Dec</t>
        </is>
      </c>
      <c r="F18" s="6">
        <f>SUM(Dec!G3:G100)</f>
        <v/>
      </c>
      <c r="M18" s="3">
        <f>IFERROR(__xludf.DUMMYFUNCTION("""COMPUTED_VALUE"""),"4/25/2026")</f>
        <v/>
      </c>
      <c r="N18" s="3">
        <f>IFERROR(__xludf.DUMMYFUNCTION("""COMPUTED_VALUE"""),"Bananas")</f>
        <v/>
      </c>
      <c r="O18" s="3">
        <f>IFERROR(__xludf.DUMMYFUNCTION("""COMPUTED_VALUE"""),"Groceries")</f>
        <v/>
      </c>
      <c r="P18" s="3">
        <f>IFERROR(__xludf.DUMMYFUNCTION("""COMPUTED_VALUE"""),6.0)</f>
        <v/>
      </c>
      <c r="Q18" s="6">
        <f>IFERROR(__xludf.DUMMYFUNCTION("""COMPUTED_VALUE"""),0.5)</f>
        <v/>
      </c>
      <c r="R18" s="6">
        <f>IFERROR(__xludf.DUMMYFUNCTION("""COMPUTED_VALUE"""),3.0)</f>
        <v/>
      </c>
    </row>
    <row r="19">
      <c r="M19" s="3">
        <f>IFERROR(__xludf.DUMMYFUNCTION("""COMPUTED_VALUE"""),"1/5/2026")</f>
        <v/>
      </c>
      <c r="N19" s="3">
        <f>IFERROR(__xludf.DUMMYFUNCTION("""COMPUTED_VALUE"""),"Water Bill")</f>
        <v/>
      </c>
      <c r="O19" s="3">
        <f>IFERROR(__xludf.DUMMYFUNCTION("""COMPUTED_VALUE"""),"Utilities")</f>
        <v/>
      </c>
      <c r="P19" s="3">
        <f>IFERROR(__xludf.DUMMYFUNCTION("""COMPUTED_VALUE"""),1.0)</f>
        <v/>
      </c>
      <c r="Q19" s="6">
        <f>IFERROR(__xludf.DUMMYFUNCTION("""COMPUTED_VALUE"""),48.0)</f>
        <v/>
      </c>
      <c r="R19" s="6">
        <f>IFERROR(__xludf.DUMMYFUNCTION("""COMPUTED_VALUE"""),48.0)</f>
        <v/>
      </c>
    </row>
    <row r="20">
      <c r="M20" s="3">
        <f>IFERROR(__xludf.DUMMYFUNCTION("""COMPUTED_VALUE"""),"8/5/2026")</f>
        <v/>
      </c>
      <c r="N20" s="3">
        <f>IFERROR(__xludf.DUMMYFUNCTION("""COMPUTED_VALUE"""),"Coffee Beans")</f>
        <v/>
      </c>
      <c r="O20" s="3">
        <f>IFERROR(__xludf.DUMMYFUNCTION("""COMPUTED_VALUE"""),"Groceries")</f>
        <v/>
      </c>
      <c r="P20" s="3">
        <f>IFERROR(__xludf.DUMMYFUNCTION("""COMPUTED_VALUE"""),1.0)</f>
        <v/>
      </c>
      <c r="Q20" s="6">
        <f>IFERROR(__xludf.DUMMYFUNCTION("""COMPUTED_VALUE"""),14.0)</f>
        <v/>
      </c>
      <c r="R20" s="6">
        <f>IFERROR(__xludf.DUMMYFUNCTION("""COMPUTED_VALUE"""),14.0)</f>
        <v/>
      </c>
    </row>
    <row r="21">
      <c r="M21" s="3">
        <f>IFERROR(__xludf.DUMMYFUNCTION("""COMPUTED_VALUE"""),"5/15/2026")</f>
        <v/>
      </c>
      <c r="N21" s="3">
        <f>IFERROR(__xludf.DUMMYFUNCTION("""COMPUTED_VALUE"""),"Internet")</f>
        <v/>
      </c>
      <c r="O21" s="3">
        <f>IFERROR(__xludf.DUMMYFUNCTION("""COMPUTED_VALUE"""),"Utilities")</f>
        <v/>
      </c>
      <c r="P21" s="3">
        <f>IFERROR(__xludf.DUMMYFUNCTION("""COMPUTED_VALUE"""),1.0)</f>
        <v/>
      </c>
      <c r="Q21" s="6">
        <f>IFERROR(__xludf.DUMMYFUNCTION("""COMPUTED_VALUE"""),60.0)</f>
        <v/>
      </c>
      <c r="R21" s="6">
        <f>IFERROR(__xludf.DUMMYFUNCTION("""COMPUTED_VALUE"""),60.0)</f>
        <v/>
      </c>
    </row>
    <row r="22">
      <c r="M22" s="3">
        <f>IFERROR(__xludf.DUMMYFUNCTION("""COMPUTED_VALUE"""),"5/20/2026")</f>
        <v/>
      </c>
      <c r="N22" s="3">
        <f>IFERROR(__xludf.DUMMYFUNCTION("""COMPUTED_VALUE"""),"Dish Soap")</f>
        <v/>
      </c>
      <c r="O22" s="3">
        <f>IFERROR(__xludf.DUMMYFUNCTION("""COMPUTED_VALUE"""),"Household")</f>
        <v/>
      </c>
      <c r="P22" s="3">
        <f>IFERROR(__xludf.DUMMYFUNCTION("""COMPUTED_VALUE"""),1.0)</f>
        <v/>
      </c>
      <c r="Q22" s="6">
        <f>IFERROR(__xludf.DUMMYFUNCTION("""COMPUTED_VALUE"""),4.0)</f>
        <v/>
      </c>
      <c r="R22" s="6">
        <f>IFERROR(__xludf.DUMMYFUNCTION("""COMPUTED_VALUE"""),4.0)</f>
        <v/>
      </c>
    </row>
    <row r="23">
      <c r="M23" s="3">
        <f>IFERROR(__xludf.DUMMYFUNCTION("""COMPUTED_VALUE"""),"5/6/2026")</f>
        <v/>
      </c>
      <c r="N23" s="3">
        <f>IFERROR(__xludf.DUMMYFUNCTION("""COMPUTED_VALUE"""),"Gas Bill")</f>
        <v/>
      </c>
      <c r="O23" s="3">
        <f>IFERROR(__xludf.DUMMYFUNCTION("""COMPUTED_VALUE"""),"Utilities")</f>
        <v/>
      </c>
      <c r="P23" s="3">
        <f>IFERROR(__xludf.DUMMYFUNCTION("""COMPUTED_VALUE"""),1.0)</f>
        <v/>
      </c>
      <c r="Q23" s="6">
        <f>IFERROR(__xludf.DUMMYFUNCTION("""COMPUTED_VALUE"""),35.0)</f>
        <v/>
      </c>
      <c r="R23" s="6">
        <f>IFERROR(__xludf.DUMMYFUNCTION("""COMPUTED_VALUE"""),35.0)</f>
        <v/>
      </c>
    </row>
    <row r="24">
      <c r="M24" s="3">
        <f>IFERROR(__xludf.DUMMYFUNCTION("""COMPUTED_VALUE"""),"12/6/2026")</f>
        <v/>
      </c>
      <c r="N24" s="3">
        <f>IFERROR(__xludf.DUMMYFUNCTION("""COMPUTED_VALUE"""),"Beef Mince")</f>
        <v/>
      </c>
      <c r="O24" s="3">
        <f>IFERROR(__xludf.DUMMYFUNCTION("""COMPUTED_VALUE"""),"Groceries")</f>
        <v/>
      </c>
      <c r="P24" s="3">
        <f>IFERROR(__xludf.DUMMYFUNCTION("""COMPUTED_VALUE"""),2.0)</f>
        <v/>
      </c>
      <c r="Q24" s="6">
        <f>IFERROR(__xludf.DUMMYFUNCTION("""COMPUTED_VALUE"""),7.5)</f>
        <v/>
      </c>
      <c r="R24" s="6">
        <f>IFERROR(__xludf.DUMMYFUNCTION("""COMPUTED_VALUE"""),15.0)</f>
        <v/>
      </c>
    </row>
    <row r="25">
      <c r="M25" s="3">
        <f>IFERROR(__xludf.DUMMYFUNCTION("""COMPUTED_VALUE"""),"6/18/2026")</f>
        <v/>
      </c>
      <c r="N25" s="3">
        <f>IFERROR(__xludf.DUMMYFUNCTION("""COMPUTED_VALUE"""),"Shampoo")</f>
        <v/>
      </c>
      <c r="O25" s="3">
        <f>IFERROR(__xludf.DUMMYFUNCTION("""COMPUTED_VALUE"""),"Personal Care")</f>
        <v/>
      </c>
      <c r="P25" s="3">
        <f>IFERROR(__xludf.DUMMYFUNCTION("""COMPUTED_VALUE"""),1.0)</f>
        <v/>
      </c>
      <c r="Q25" s="6">
        <f>IFERROR(__xludf.DUMMYFUNCTION("""COMPUTED_VALUE"""),6.0)</f>
        <v/>
      </c>
      <c r="R25" s="6">
        <f>IFERROR(__xludf.DUMMYFUNCTION("""COMPUTED_VALUE"""),6.0)</f>
        <v/>
      </c>
    </row>
    <row r="26">
      <c r="M26" s="3">
        <f>IFERROR(__xludf.DUMMYFUNCTION("""COMPUTED_VALUE"""),"6/25/2026")</f>
        <v/>
      </c>
      <c r="N26" s="3">
        <f>IFERROR(__xludf.DUMMYFUNCTION("""COMPUTED_VALUE"""),"Batteries (AA)")</f>
        <v/>
      </c>
      <c r="O26" s="3">
        <f>IFERROR(__xludf.DUMMYFUNCTION("""COMPUTED_VALUE"""),"Electronics")</f>
        <v/>
      </c>
      <c r="P26" s="3">
        <f>IFERROR(__xludf.DUMMYFUNCTION("""COMPUTED_VALUE"""),1.0)</f>
        <v/>
      </c>
      <c r="Q26" s="6">
        <f>IFERROR(__xludf.DUMMYFUNCTION("""COMPUTED_VALUE"""),15.0)</f>
        <v/>
      </c>
      <c r="R26" s="6">
        <f>IFERROR(__xludf.DUMMYFUNCTION("""COMPUTED_VALUE"""),15.0)</f>
        <v/>
      </c>
    </row>
    <row r="27">
      <c r="M27" s="3">
        <f>IFERROR(__xludf.DUMMYFUNCTION("""COMPUTED_VALUE"""),"3/7/2026")</f>
        <v/>
      </c>
      <c r="N27" s="3">
        <f>IFERROR(__xludf.DUMMYFUNCTION("""COMPUTED_VALUE"""),"Milk (1 Gal)")</f>
        <v/>
      </c>
      <c r="O27" s="3">
        <f>IFERROR(__xludf.DUMMYFUNCTION("""COMPUTED_VALUE"""),"Groceries")</f>
        <v/>
      </c>
      <c r="P27" s="3">
        <f>IFERROR(__xludf.DUMMYFUNCTION("""COMPUTED_VALUE"""),2.0)</f>
        <v/>
      </c>
      <c r="Q27" s="6">
        <f>IFERROR(__xludf.DUMMYFUNCTION("""COMPUTED_VALUE"""),3.5)</f>
        <v/>
      </c>
      <c r="R27" s="6">
        <f>IFERROR(__xludf.DUMMYFUNCTION("""COMPUTED_VALUE"""),7.0)</f>
        <v/>
      </c>
    </row>
    <row r="28">
      <c r="M28" s="3">
        <f>IFERROR(__xludf.DUMMYFUNCTION("""COMPUTED_VALUE"""),"10/7/2026")</f>
        <v/>
      </c>
      <c r="N28" s="3">
        <f>IFERROR(__xludf.DUMMYFUNCTION("""COMPUTED_VALUE"""),"Electricity Bill")</f>
        <v/>
      </c>
      <c r="O28" s="3">
        <f>IFERROR(__xludf.DUMMYFUNCTION("""COMPUTED_VALUE"""),"Utilities")</f>
        <v/>
      </c>
      <c r="P28" s="3">
        <f>IFERROR(__xludf.DUMMYFUNCTION("""COMPUTED_VALUE"""),1.0)</f>
        <v/>
      </c>
      <c r="Q28" s="6">
        <f>IFERROR(__xludf.DUMMYFUNCTION("""COMPUTED_VALUE"""),150.0)</f>
        <v/>
      </c>
      <c r="R28" s="6">
        <f>IFERROR(__xludf.DUMMYFUNCTION("""COMPUTED_VALUE"""),150.0)</f>
        <v/>
      </c>
    </row>
    <row r="29">
      <c r="M29" s="3">
        <f>IFERROR(__xludf.DUMMYFUNCTION("""COMPUTED_VALUE"""),"7/15/2026")</f>
        <v/>
      </c>
      <c r="N29" s="3">
        <f>IFERROR(__xludf.DUMMYFUNCTION("""COMPUTED_VALUE"""),"Sunscreen")</f>
        <v/>
      </c>
      <c r="O29" s="3">
        <f>IFERROR(__xludf.DUMMYFUNCTION("""COMPUTED_VALUE"""),"Personal Care")</f>
        <v/>
      </c>
      <c r="P29" s="3">
        <f>IFERROR(__xludf.DUMMYFUNCTION("""COMPUTED_VALUE"""),1.0)</f>
        <v/>
      </c>
      <c r="Q29" s="6">
        <f>IFERROR(__xludf.DUMMYFUNCTION("""COMPUTED_VALUE"""),12.0)</f>
        <v/>
      </c>
      <c r="R29" s="6">
        <f>IFERROR(__xludf.DUMMYFUNCTION("""COMPUTED_VALUE"""),12.0)</f>
        <v/>
      </c>
    </row>
    <row r="30">
      <c r="M30" s="3">
        <f>IFERROR(__xludf.DUMMYFUNCTION("""COMPUTED_VALUE"""),"7/22/2026")</f>
        <v/>
      </c>
      <c r="N30" s="3">
        <f>IFERROR(__xludf.DUMMYFUNCTION("""COMPUTED_VALUE"""),"Pasta")</f>
        <v/>
      </c>
      <c r="O30" s="3">
        <f>IFERROR(__xludf.DUMMYFUNCTION("""COMPUTED_VALUE"""),"Groceries")</f>
        <v/>
      </c>
      <c r="P30" s="3">
        <f>IFERROR(__xludf.DUMMYFUNCTION("""COMPUTED_VALUE"""),4.0)</f>
        <v/>
      </c>
      <c r="Q30" s="6">
        <f>IFERROR(__xludf.DUMMYFUNCTION("""COMPUTED_VALUE"""),1.5)</f>
        <v/>
      </c>
      <c r="R30" s="6">
        <f>IFERROR(__xludf.DUMMYFUNCTION("""COMPUTED_VALUE"""),6.0)</f>
        <v/>
      </c>
    </row>
    <row r="31">
      <c r="M31" s="3">
        <f>IFERROR(__xludf.DUMMYFUNCTION("""COMPUTED_VALUE"""),"2/8/2026")</f>
        <v/>
      </c>
      <c r="N31" s="3">
        <f>IFERROR(__xludf.DUMMYFUNCTION("""COMPUTED_VALUE"""),"Water Bill")</f>
        <v/>
      </c>
      <c r="O31" s="3">
        <f>IFERROR(__xludf.DUMMYFUNCTION("""COMPUTED_VALUE"""),"Utilities")</f>
        <v/>
      </c>
      <c r="P31" s="3">
        <f>IFERROR(__xludf.DUMMYFUNCTION("""COMPUTED_VALUE"""),1.0)</f>
        <v/>
      </c>
      <c r="Q31" s="6">
        <f>IFERROR(__xludf.DUMMYFUNCTION("""COMPUTED_VALUE"""),55.0)</f>
        <v/>
      </c>
      <c r="R31" s="6">
        <f>IFERROR(__xludf.DUMMYFUNCTION("""COMPUTED_VALUE"""),55.0)</f>
        <v/>
      </c>
    </row>
    <row r="32">
      <c r="M32" s="3">
        <f>IFERROR(__xludf.DUMMYFUNCTION("""COMPUTED_VALUE"""),"9/8/2026")</f>
        <v/>
      </c>
      <c r="N32" s="3">
        <f>IFERROR(__xludf.DUMMYFUNCTION("""COMPUTED_VALUE"""),"Cereal")</f>
        <v/>
      </c>
      <c r="O32" s="3">
        <f>IFERROR(__xludf.DUMMYFUNCTION("""COMPUTED_VALUE"""),"Groceries")</f>
        <v/>
      </c>
      <c r="P32" s="3">
        <f>IFERROR(__xludf.DUMMYFUNCTION("""COMPUTED_VALUE"""),2.0)</f>
        <v/>
      </c>
      <c r="Q32" s="6">
        <f>IFERROR(__xludf.DUMMYFUNCTION("""COMPUTED_VALUE"""),4.5)</f>
        <v/>
      </c>
      <c r="R32" s="6">
        <f>IFERROR(__xludf.DUMMYFUNCTION("""COMPUTED_VALUE"""),9.0)</f>
        <v/>
      </c>
    </row>
    <row r="33">
      <c r="M33" s="3">
        <f>IFERROR(__xludf.DUMMYFUNCTION("""COMPUTED_VALUE"""),"8/15/2026")</f>
        <v/>
      </c>
      <c r="N33" s="3">
        <f>IFERROR(__xludf.DUMMYFUNCTION("""COMPUTED_VALUE"""),"Internet")</f>
        <v/>
      </c>
      <c r="O33" s="3">
        <f>IFERROR(__xludf.DUMMYFUNCTION("""COMPUTED_VALUE"""),"Utilities")</f>
        <v/>
      </c>
      <c r="P33" s="3">
        <f>IFERROR(__xludf.DUMMYFUNCTION("""COMPUTED_VALUE"""),1.0)</f>
        <v/>
      </c>
      <c r="Q33" s="6">
        <f>IFERROR(__xludf.DUMMYFUNCTION("""COMPUTED_VALUE"""),60.0)</f>
        <v/>
      </c>
      <c r="R33" s="6">
        <f>IFERROR(__xludf.DUMMYFUNCTION("""COMPUTED_VALUE"""),60.0)</f>
        <v/>
      </c>
    </row>
    <row r="34">
      <c r="M34" s="3">
        <f>IFERROR(__xludf.DUMMYFUNCTION("""COMPUTED_VALUE"""),"8/20/2026")</f>
        <v/>
      </c>
      <c r="N34" s="3">
        <f>IFERROR(__xludf.DUMMYFUNCTION("""COMPUTED_VALUE"""),"Toilet Paper")</f>
        <v/>
      </c>
      <c r="O34" s="3">
        <f>IFERROR(__xludf.DUMMYFUNCTION("""COMPUTED_VALUE"""),"Household")</f>
        <v/>
      </c>
      <c r="P34" s="3">
        <f>IFERROR(__xludf.DUMMYFUNCTION("""COMPUTED_VALUE"""),1.0)</f>
        <v/>
      </c>
      <c r="Q34" s="6">
        <f>IFERROR(__xludf.DUMMYFUNCTION("""COMPUTED_VALUE"""),20.0)</f>
        <v/>
      </c>
      <c r="R34" s="6">
        <f>IFERROR(__xludf.DUMMYFUNCTION("""COMPUTED_VALUE"""),20.0)</f>
        <v/>
      </c>
    </row>
    <row r="35">
      <c r="M35" s="3">
        <f>IFERROR(__xludf.DUMMYFUNCTION("""COMPUTED_VALUE"""),"8/28/2026")</f>
        <v/>
      </c>
      <c r="N35" s="3">
        <f>IFERROR(__xludf.DUMMYFUNCTION("""COMPUTED_VALUE"""),"HDMI Cable")</f>
        <v/>
      </c>
      <c r="O35" s="3">
        <f>IFERROR(__xludf.DUMMYFUNCTION("""COMPUTED_VALUE"""),"Electronics")</f>
        <v/>
      </c>
      <c r="P35" s="3">
        <f>IFERROR(__xludf.DUMMYFUNCTION("""COMPUTED_VALUE"""),1.0)</f>
        <v/>
      </c>
      <c r="Q35" s="6">
        <f>IFERROR(__xludf.DUMMYFUNCTION("""COMPUTED_VALUE"""),10.0)</f>
        <v/>
      </c>
      <c r="R35" s="6">
        <f>IFERROR(__xludf.DUMMYFUNCTION("""COMPUTED_VALUE"""),10.0)</f>
        <v/>
      </c>
    </row>
    <row r="36">
      <c r="M36" s="3">
        <f>IFERROR(__xludf.DUMMYFUNCTION("""COMPUTED_VALUE"""),"5/9/2026")</f>
        <v/>
      </c>
      <c r="N36" s="3">
        <f>IFERROR(__xludf.DUMMYFUNCTION("""COMPUTED_VALUE"""),"Gas Bill")</f>
        <v/>
      </c>
      <c r="O36" s="3">
        <f>IFERROR(__xludf.DUMMYFUNCTION("""COMPUTED_VALUE"""),"Utilities")</f>
        <v/>
      </c>
      <c r="P36" s="3">
        <f>IFERROR(__xludf.DUMMYFUNCTION("""COMPUTED_VALUE"""),1.0)</f>
        <v/>
      </c>
      <c r="Q36" s="6">
        <f>IFERROR(__xludf.DUMMYFUNCTION("""COMPUTED_VALUE"""),40.0)</f>
        <v/>
      </c>
      <c r="R36" s="6">
        <f>IFERROR(__xludf.DUMMYFUNCTION("""COMPUTED_VALUE"""),40.0)</f>
        <v/>
      </c>
    </row>
    <row r="37">
      <c r="M37" s="3">
        <f>IFERROR(__xludf.DUMMYFUNCTION("""COMPUTED_VALUE"""),"12/9/2026")</f>
        <v/>
      </c>
      <c r="N37" s="3">
        <f>IFERROR(__xludf.DUMMYFUNCTION("""COMPUTED_VALUE"""),"Chicken Breast")</f>
        <v/>
      </c>
      <c r="O37" s="3">
        <f>IFERROR(__xludf.DUMMYFUNCTION("""COMPUTED_VALUE"""),"Groceries")</f>
        <v/>
      </c>
      <c r="P37" s="3">
        <f>IFERROR(__xludf.DUMMYFUNCTION("""COMPUTED_VALUE"""),2.0)</f>
        <v/>
      </c>
      <c r="Q37" s="6">
        <f>IFERROR(__xludf.DUMMYFUNCTION("""COMPUTED_VALUE"""),8.0)</f>
        <v/>
      </c>
      <c r="R37" s="6">
        <f>IFERROR(__xludf.DUMMYFUNCTION("""COMPUTED_VALUE"""),16.0)</f>
        <v/>
      </c>
    </row>
    <row r="38">
      <c r="M38" s="3">
        <f>IFERROR(__xludf.DUMMYFUNCTION("""COMPUTED_VALUE"""),"9/18/2026")</f>
        <v/>
      </c>
      <c r="N38" s="3">
        <f>IFERROR(__xludf.DUMMYFUNCTION("""COMPUTED_VALUE"""),"Hand Soap")</f>
        <v/>
      </c>
      <c r="O38" s="3">
        <f>IFERROR(__xludf.DUMMYFUNCTION("""COMPUTED_VALUE"""),"Personal Care")</f>
        <v/>
      </c>
      <c r="P38" s="3">
        <f>IFERROR(__xludf.DUMMYFUNCTION("""COMPUTED_VALUE"""),2.0)</f>
        <v/>
      </c>
      <c r="Q38" s="6">
        <f>IFERROR(__xludf.DUMMYFUNCTION("""COMPUTED_VALUE"""),3.0)</f>
        <v/>
      </c>
      <c r="R38" s="6">
        <f>IFERROR(__xludf.DUMMYFUNCTION("""COMPUTED_VALUE"""),6.0)</f>
        <v/>
      </c>
    </row>
    <row r="39">
      <c r="M39" s="3">
        <f>IFERROR(__xludf.DUMMYFUNCTION("""COMPUTED_VALUE"""),"9/25/2026")</f>
        <v/>
      </c>
      <c r="N39" s="3">
        <f>IFERROR(__xludf.DUMMYFUNCTION("""COMPUTED_VALUE"""),"Air Filters")</f>
        <v/>
      </c>
      <c r="O39" s="3">
        <f>IFERROR(__xludf.DUMMYFUNCTION("""COMPUTED_VALUE"""),"Maintenance")</f>
        <v/>
      </c>
      <c r="P39" s="3">
        <f>IFERROR(__xludf.DUMMYFUNCTION("""COMPUTED_VALUE"""),2.0)</f>
        <v/>
      </c>
      <c r="Q39" s="6">
        <f>IFERROR(__xludf.DUMMYFUNCTION("""COMPUTED_VALUE"""),15.0)</f>
        <v/>
      </c>
      <c r="R39" s="6">
        <f>IFERROR(__xludf.DUMMYFUNCTION("""COMPUTED_VALUE"""),30.0)</f>
        <v/>
      </c>
    </row>
    <row r="40">
      <c r="M40" s="3">
        <f>IFERROR(__xludf.DUMMYFUNCTION("""COMPUTED_VALUE"""),"2/10/2026")</f>
        <v/>
      </c>
      <c r="N40" s="3">
        <f>IFERROR(__xludf.DUMMYFUNCTION("""COMPUTED_VALUE"""),"Milk (1 Gal)")</f>
        <v/>
      </c>
      <c r="O40" s="3">
        <f>IFERROR(__xludf.DUMMYFUNCTION("""COMPUTED_VALUE"""),"Groceries")</f>
        <v/>
      </c>
      <c r="P40" s="3">
        <f>IFERROR(__xludf.DUMMYFUNCTION("""COMPUTED_VALUE"""),2.0)</f>
        <v/>
      </c>
      <c r="Q40" s="6">
        <f>IFERROR(__xludf.DUMMYFUNCTION("""COMPUTED_VALUE"""),3.5)</f>
        <v/>
      </c>
      <c r="R40" s="6">
        <f>IFERROR(__xludf.DUMMYFUNCTION("""COMPUTED_VALUE"""),7.0)</f>
        <v/>
      </c>
    </row>
    <row r="41">
      <c r="M41" s="3">
        <f>IFERROR(__xludf.DUMMYFUNCTION("""COMPUTED_VALUE"""),"10/10/2026")</f>
        <v/>
      </c>
      <c r="N41" s="3">
        <f>IFERROR(__xludf.DUMMYFUNCTION("""COMPUTED_VALUE"""),"Electricity Bill")</f>
        <v/>
      </c>
      <c r="O41" s="3">
        <f>IFERROR(__xludf.DUMMYFUNCTION("""COMPUTED_VALUE"""),"Utilities")</f>
        <v/>
      </c>
      <c r="P41" s="3">
        <f>IFERROR(__xludf.DUMMYFUNCTION("""COMPUTED_VALUE"""),1.0)</f>
        <v/>
      </c>
      <c r="Q41" s="6">
        <f>IFERROR(__xludf.DUMMYFUNCTION("""COMPUTED_VALUE"""),110.0)</f>
        <v/>
      </c>
      <c r="R41" s="6">
        <f>IFERROR(__xludf.DUMMYFUNCTION("""COMPUTED_VALUE"""),110.0)</f>
        <v/>
      </c>
    </row>
    <row r="42">
      <c r="M42" s="3">
        <f>IFERROR(__xludf.DUMMYFUNCTION("""COMPUTED_VALUE"""),"10/15/2026")</f>
        <v/>
      </c>
      <c r="N42" s="3">
        <f>IFERROR(__xludf.DUMMYFUNCTION("""COMPUTED_VALUE"""),"Halloween Candy")</f>
        <v/>
      </c>
      <c r="O42" s="3">
        <f>IFERROR(__xludf.DUMMYFUNCTION("""COMPUTED_VALUE"""),"Groceries")</f>
        <v/>
      </c>
      <c r="P42" s="3">
        <f>IFERROR(__xludf.DUMMYFUNCTION("""COMPUTED_VALUE"""),3.0)</f>
        <v/>
      </c>
      <c r="Q42" s="6">
        <f>IFERROR(__xludf.DUMMYFUNCTION("""COMPUTED_VALUE"""),6.0)</f>
        <v/>
      </c>
      <c r="R42" s="6">
        <f>IFERROR(__xludf.DUMMYFUNCTION("""COMPUTED_VALUE"""),18.0)</f>
        <v/>
      </c>
    </row>
    <row r="43">
      <c r="M43" s="3">
        <f>IFERROR(__xludf.DUMMYFUNCTION("""COMPUTED_VALUE"""),"10/22/2026")</f>
        <v/>
      </c>
      <c r="N43" s="3">
        <f>IFERROR(__xludf.DUMMYFUNCTION("""COMPUTED_VALUE"""),"Sponges")</f>
        <v/>
      </c>
      <c r="O43" s="3">
        <f>IFERROR(__xludf.DUMMYFUNCTION("""COMPUTED_VALUE"""),"Household")</f>
        <v/>
      </c>
      <c r="P43" s="3">
        <f>IFERROR(__xludf.DUMMYFUNCTION("""COMPUTED_VALUE"""),1.0)</f>
        <v/>
      </c>
      <c r="Q43" s="6">
        <f>IFERROR(__xludf.DUMMYFUNCTION("""COMPUTED_VALUE"""),5.0)</f>
        <v/>
      </c>
      <c r="R43" s="6">
        <f>IFERROR(__xludf.DUMMYFUNCTION("""COMPUTED_VALUE"""),5.0)</f>
        <v/>
      </c>
    </row>
    <row r="44">
      <c r="M44" s="3">
        <f>IFERROR(__xludf.DUMMYFUNCTION("""COMPUTED_VALUE"""),"1/11/2026")</f>
        <v/>
      </c>
      <c r="N44" s="3">
        <f>IFERROR(__xludf.DUMMYFUNCTION("""COMPUTED_VALUE"""),"Water Bill")</f>
        <v/>
      </c>
      <c r="O44" s="3">
        <f>IFERROR(__xludf.DUMMYFUNCTION("""COMPUTED_VALUE"""),"Utilities")</f>
        <v/>
      </c>
      <c r="P44" s="3">
        <f>IFERROR(__xludf.DUMMYFUNCTION("""COMPUTED_VALUE"""),1.0)</f>
        <v/>
      </c>
      <c r="Q44" s="6">
        <f>IFERROR(__xludf.DUMMYFUNCTION("""COMPUTED_VALUE"""),45.0)</f>
        <v/>
      </c>
      <c r="R44" s="6">
        <f>IFERROR(__xludf.DUMMYFUNCTION("""COMPUTED_VALUE"""),45.0)</f>
        <v/>
      </c>
    </row>
    <row r="45">
      <c r="M45" s="3">
        <f>IFERROR(__xludf.DUMMYFUNCTION("""COMPUTED_VALUE"""),"8/11/2026")</f>
        <v/>
      </c>
      <c r="N45" s="3">
        <f>IFERROR(__xludf.DUMMYFUNCTION("""COMPUTED_VALUE"""),"Turkey")</f>
        <v/>
      </c>
      <c r="O45" s="3">
        <f>IFERROR(__xludf.DUMMYFUNCTION("""COMPUTED_VALUE"""),"Groceries")</f>
        <v/>
      </c>
      <c r="P45" s="3">
        <f>IFERROR(__xludf.DUMMYFUNCTION("""COMPUTED_VALUE"""),1.0)</f>
        <v/>
      </c>
      <c r="Q45" s="6">
        <f>IFERROR(__xludf.DUMMYFUNCTION("""COMPUTED_VALUE"""),25.0)</f>
        <v/>
      </c>
      <c r="R45" s="6">
        <f>IFERROR(__xludf.DUMMYFUNCTION("""COMPUTED_VALUE"""),25.0)</f>
        <v/>
      </c>
    </row>
    <row r="46">
      <c r="M46" s="3">
        <f>IFERROR(__xludf.DUMMYFUNCTION("""COMPUTED_VALUE"""),"11/15/2026")</f>
        <v/>
      </c>
      <c r="N46" s="3">
        <f>IFERROR(__xludf.DUMMYFUNCTION("""COMPUTED_VALUE"""),"Internet")</f>
        <v/>
      </c>
      <c r="O46" s="3">
        <f>IFERROR(__xludf.DUMMYFUNCTION("""COMPUTED_VALUE"""),"Utilities")</f>
        <v/>
      </c>
      <c r="P46" s="3">
        <f>IFERROR(__xludf.DUMMYFUNCTION("""COMPUTED_VALUE"""),1.0)</f>
        <v/>
      </c>
      <c r="Q46" s="6">
        <f>IFERROR(__xludf.DUMMYFUNCTION("""COMPUTED_VALUE"""),60.0)</f>
        <v/>
      </c>
      <c r="R46" s="6">
        <f>IFERROR(__xludf.DUMMYFUNCTION("""COMPUTED_VALUE"""),60.0)</f>
        <v/>
      </c>
    </row>
    <row r="47">
      <c r="M47" s="3">
        <f>IFERROR(__xludf.DUMMYFUNCTION("""COMPUTED_VALUE"""),"11/20/2026")</f>
        <v/>
      </c>
      <c r="N47" s="3">
        <f>IFERROR(__xludf.DUMMYFUNCTION("""COMPUTED_VALUE"""),"Tissues")</f>
        <v/>
      </c>
      <c r="O47" s="3">
        <f>IFERROR(__xludf.DUMMYFUNCTION("""COMPUTED_VALUE"""),"Household")</f>
        <v/>
      </c>
      <c r="P47" s="3">
        <f>IFERROR(__xludf.DUMMYFUNCTION("""COMPUTED_VALUE"""),2.0)</f>
        <v/>
      </c>
      <c r="Q47" s="6">
        <f>IFERROR(__xludf.DUMMYFUNCTION("""COMPUTED_VALUE"""),4.0)</f>
        <v/>
      </c>
      <c r="R47" s="6">
        <f>IFERROR(__xludf.DUMMYFUNCTION("""COMPUTED_VALUE"""),8.0)</f>
        <v/>
      </c>
    </row>
    <row r="48">
      <c r="M48" s="3">
        <f>IFERROR(__xludf.DUMMYFUNCTION("""COMPUTED_VALUE"""),"5/12/2026")</f>
        <v/>
      </c>
      <c r="N48" s="3">
        <f>IFERROR(__xludf.DUMMYFUNCTION("""COMPUTED_VALUE"""),"Gas Bill")</f>
        <v/>
      </c>
      <c r="O48" s="3">
        <f>IFERROR(__xludf.DUMMYFUNCTION("""COMPUTED_VALUE"""),"Utilities")</f>
        <v/>
      </c>
      <c r="P48" s="3">
        <f>IFERROR(__xludf.DUMMYFUNCTION("""COMPUTED_VALUE"""),1.0)</f>
        <v/>
      </c>
      <c r="Q48" s="6">
        <f>IFERROR(__xludf.DUMMYFUNCTION("""COMPUTED_VALUE"""),95.0)</f>
        <v/>
      </c>
      <c r="R48" s="6">
        <f>IFERROR(__xludf.DUMMYFUNCTION("""COMPUTED_VALUE"""),95.0)</f>
        <v/>
      </c>
    </row>
    <row r="49">
      <c r="M49" s="3">
        <f>IFERROR(__xludf.DUMMYFUNCTION("""COMPUTED_VALUE"""),"12/12/2026")</f>
        <v/>
      </c>
      <c r="N49" s="3">
        <f>IFERROR(__xludf.DUMMYFUNCTION("""COMPUTED_VALUE"""),"Wrapping Paper")</f>
        <v/>
      </c>
      <c r="O49" s="3">
        <f>IFERROR(__xludf.DUMMYFUNCTION("""COMPUTED_VALUE"""),"Miscellaneous")</f>
        <v/>
      </c>
      <c r="P49" s="3">
        <f>IFERROR(__xludf.DUMMYFUNCTION("""COMPUTED_VALUE"""),3.0)</f>
        <v/>
      </c>
      <c r="Q49" s="6">
        <f>IFERROR(__xludf.DUMMYFUNCTION("""COMPUTED_VALUE"""),5.0)</f>
        <v/>
      </c>
      <c r="R49" s="6">
        <f>IFERROR(__xludf.DUMMYFUNCTION("""COMPUTED_VALUE"""),15.0)</f>
        <v/>
      </c>
    </row>
    <row r="50">
      <c r="M50" s="3">
        <f>IFERROR(__xludf.DUMMYFUNCTION("""COMPUTED_VALUE"""),"12/18/2026")</f>
        <v/>
      </c>
      <c r="N50" s="3">
        <f>IFERROR(__xludf.DUMMYFUNCTION("""COMPUTED_VALUE"""),"Potatoes")</f>
        <v/>
      </c>
      <c r="O50" s="3">
        <f>IFERROR(__xludf.DUMMYFUNCTION("""COMPUTED_VALUE"""),"Groceries")</f>
        <v/>
      </c>
      <c r="P50" s="3">
        <f>IFERROR(__xludf.DUMMYFUNCTION("""COMPUTED_VALUE"""),1.0)</f>
        <v/>
      </c>
      <c r="Q50" s="6">
        <f>IFERROR(__xludf.DUMMYFUNCTION("""COMPUTED_VALUE"""),4.0)</f>
        <v/>
      </c>
      <c r="R50" s="6">
        <f>IFERROR(__xludf.DUMMYFUNCTION("""COMPUTED_VALUE"""),4.0)</f>
        <v/>
      </c>
    </row>
    <row r="51">
      <c r="M51" s="3">
        <f>IFERROR(__xludf.DUMMYFUNCTION("""COMPUTED_VALUE"""),"12/22/2026")</f>
        <v/>
      </c>
      <c r="N51" s="3">
        <f>IFERROR(__xludf.DUMMYFUNCTION("""COMPUTED_VALUE"""),"Electricity Bill")</f>
        <v/>
      </c>
      <c r="O51" s="3">
        <f>IFERROR(__xludf.DUMMYFUNCTION("""COMPUTED_VALUE"""),"Utilities")</f>
        <v/>
      </c>
      <c r="P51" s="3">
        <f>IFERROR(__xludf.DUMMYFUNCTION("""COMPUTED_VALUE"""),1.0)</f>
        <v/>
      </c>
      <c r="Q51" s="6">
        <f>IFERROR(__xludf.DUMMYFUNCTION("""COMPUTED_VALUE"""),130.0)</f>
        <v/>
      </c>
      <c r="R51" s="6">
        <f>IFERROR(__xludf.DUMMYFUNCTION("""COMPUTED_VALUE"""),130.0)</f>
        <v/>
      </c>
    </row>
    <row r="52">
      <c r="M52" s="3">
        <f>IFERROR(__xludf.DUMMYFUNCTION("""COMPUTED_VALUE"""),"12/28/2026")</f>
        <v/>
      </c>
      <c r="N52" s="3">
        <f>IFERROR(__xludf.DUMMYFUNCTION("""COMPUTED_VALUE"""),"Batteries (AAA)")</f>
        <v/>
      </c>
      <c r="O52" s="3">
        <f>IFERROR(__xludf.DUMMYFUNCTION("""COMPUTED_VALUE"""),"Electronics")</f>
        <v/>
      </c>
      <c r="P52" s="3">
        <f>IFERROR(__xludf.DUMMYFUNCTION("""COMPUTED_VALUE"""),1.0)</f>
        <v/>
      </c>
      <c r="Q52" s="6">
        <f>IFERROR(__xludf.DUMMYFUNCTION("""COMPUTED_VALUE"""),12.0)</f>
        <v/>
      </c>
      <c r="R52" s="6">
        <f>IFERROR(__xludf.DUMMYFUNCTION("""COMPUTED_VALUE"""),12.0)</f>
        <v/>
      </c>
    </row>
  </sheetData>
  <mergeCells count="3">
    <mergeCell ref="B2:G2"/>
    <mergeCell ref="E4:F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15" min="2" max="2"/>
    <col width="10.63" customWidth="1" style="15" min="3" max="3"/>
    <col width="10.25" customWidth="1" style="15" min="4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Jan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46143</v>
      </c>
      <c r="C3" s="14" t="inlineStr">
        <is>
          <t>Milk (1 Gal)</t>
        </is>
      </c>
      <c r="D3" s="14" t="inlineStr">
        <is>
          <t>Groceries</t>
        </is>
      </c>
      <c r="E3" s="14" t="n">
        <v>2</v>
      </c>
      <c r="F3" s="12" t="n">
        <v>3.5</v>
      </c>
      <c r="G3" s="12">
        <f>IF(ISBLANK(C3), "", E3*F3)</f>
        <v/>
      </c>
    </row>
    <row r="4">
      <c r="B4" s="13" t="n">
        <v>46357</v>
      </c>
      <c r="C4" s="14" t="inlineStr">
        <is>
          <t>Electricity Bill</t>
        </is>
      </c>
      <c r="D4" s="14" t="inlineStr">
        <is>
          <t>Utilities</t>
        </is>
      </c>
      <c r="E4" s="14" t="n">
        <v>1</v>
      </c>
      <c r="F4" s="12" t="n">
        <v>120</v>
      </c>
      <c r="G4" s="12">
        <f>IF(ISBLANK(C4), "", E4*F4)</f>
        <v/>
      </c>
    </row>
    <row r="5">
      <c r="B5" s="13" t="inlineStr">
        <is>
          <t>1/18/2026</t>
        </is>
      </c>
      <c r="C5" s="14" t="inlineStr">
        <is>
          <t>Paper Towels</t>
        </is>
      </c>
      <c r="D5" s="14" t="inlineStr">
        <is>
          <t>Household</t>
        </is>
      </c>
      <c r="E5" s="14" t="n">
        <v>1</v>
      </c>
      <c r="F5" s="12" t="n">
        <v>15</v>
      </c>
      <c r="G5" s="12">
        <f>IF(ISBLANK(C5), "", E5*F5)</f>
        <v/>
      </c>
    </row>
    <row r="6">
      <c r="B6" s="13" t="inlineStr">
        <is>
          <t>1/25/2026</t>
        </is>
      </c>
      <c r="C6" s="14" t="inlineStr">
        <is>
          <t>Apples</t>
        </is>
      </c>
      <c r="D6" s="14" t="inlineStr">
        <is>
          <t>Groceries</t>
        </is>
      </c>
      <c r="E6" s="14" t="n">
        <v>5</v>
      </c>
      <c r="F6" s="12" t="n">
        <v>0.8</v>
      </c>
      <c r="G6" s="12">
        <f>IF(ISBLANK(C6), "", E6*F6)</f>
        <v/>
      </c>
    </row>
    <row r="7">
      <c r="B7" s="13" t="inlineStr">
        <is>
          <t>1/29/2026</t>
        </is>
      </c>
      <c r="C7" s="14" t="inlineStr">
        <is>
          <t>Light Bulbs</t>
        </is>
      </c>
      <c r="D7" s="14" t="inlineStr">
        <is>
          <t>Maintenance</t>
        </is>
      </c>
      <c r="E7" s="14" t="n">
        <v>1</v>
      </c>
      <c r="F7" s="12" t="n">
        <v>12.5</v>
      </c>
      <c r="G7" s="12">
        <f>IF(ISBLANK(C7), "", E7*F7)</f>
        <v/>
      </c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15" min="2" max="2"/>
    <col width="11.75" customWidth="1" style="15" min="3" max="3"/>
    <col width="7.88" customWidth="1" style="15" min="4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Feb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46055</v>
      </c>
      <c r="C3" s="14" t="inlineStr">
        <is>
          <t>Water Bill</t>
        </is>
      </c>
      <c r="D3" s="14" t="inlineStr">
        <is>
          <t>Utilities</t>
        </is>
      </c>
      <c r="E3" s="14" t="n">
        <v>1</v>
      </c>
      <c r="F3" s="12" t="n">
        <v>45</v>
      </c>
      <c r="G3" s="12">
        <f>IF(ISBLANK(C3), "", E3*F3)</f>
        <v/>
      </c>
    </row>
    <row r="4">
      <c r="B4" s="13" t="n">
        <v>46297</v>
      </c>
      <c r="C4" s="14" t="inlineStr">
        <is>
          <t>Bread</t>
        </is>
      </c>
      <c r="D4" s="14" t="inlineStr">
        <is>
          <t>Groceries</t>
        </is>
      </c>
      <c r="E4" s="14" t="n">
        <v>3</v>
      </c>
      <c r="F4" s="12" t="n">
        <v>2.5</v>
      </c>
      <c r="G4" s="12">
        <f>IF(ISBLANK(C4), "", E4*F4)</f>
        <v/>
      </c>
    </row>
    <row r="5">
      <c r="B5" s="13" t="inlineStr">
        <is>
          <t>2/15/2026</t>
        </is>
      </c>
      <c r="C5" s="14" t="inlineStr">
        <is>
          <t>Internet</t>
        </is>
      </c>
      <c r="D5" s="14" t="inlineStr">
        <is>
          <t>Utilities</t>
        </is>
      </c>
      <c r="E5" s="14" t="n">
        <v>1</v>
      </c>
      <c r="F5" s="12" t="n">
        <v>60</v>
      </c>
      <c r="G5" s="12">
        <f>IF(ISBLANK(C5), "", E5*F5)</f>
        <v/>
      </c>
    </row>
    <row r="6">
      <c r="B6" s="13" t="inlineStr">
        <is>
          <t>2/20/2026</t>
        </is>
      </c>
      <c r="C6" s="14" t="inlineStr">
        <is>
          <t>Chicken Breast</t>
        </is>
      </c>
      <c r="D6" s="14" t="inlineStr">
        <is>
          <t>Groceries</t>
        </is>
      </c>
      <c r="E6" s="14" t="n">
        <v>2</v>
      </c>
      <c r="F6" s="12" t="n">
        <v>8</v>
      </c>
      <c r="G6" s="12">
        <f>IF(ISBLANK(C6), "", E6*F6)</f>
        <v/>
      </c>
    </row>
    <row r="7">
      <c r="B7" s="13" t="n"/>
      <c r="C7" s="14" t="n"/>
      <c r="D7" s="14" t="n"/>
      <c r="E7" s="14" t="n"/>
      <c r="F7" s="12" t="n"/>
      <c r="G7" s="12" t="n"/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15" min="2" max="2"/>
    <col width="14.25" customWidth="1" style="15" min="3" max="3"/>
    <col width="8.75" customWidth="1" style="15" min="4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Mar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46145</v>
      </c>
      <c r="C3" s="14" t="inlineStr">
        <is>
          <t>Gas Bill</t>
        </is>
      </c>
      <c r="D3" s="14" t="inlineStr">
        <is>
          <t>Utilities</t>
        </is>
      </c>
      <c r="E3" s="14" t="n">
        <v>1</v>
      </c>
      <c r="F3" s="12" t="n">
        <v>80</v>
      </c>
      <c r="G3" s="12">
        <f>IF(ISBLANK(C3), "", E3*F3)</f>
        <v/>
      </c>
    </row>
    <row r="4">
      <c r="B4" s="13" t="n">
        <v>46359</v>
      </c>
      <c r="C4" s="14" t="inlineStr">
        <is>
          <t>Laundry Detergent</t>
        </is>
      </c>
      <c r="D4" s="14" t="inlineStr">
        <is>
          <t>Household</t>
        </is>
      </c>
      <c r="E4" s="14" t="n">
        <v>1</v>
      </c>
      <c r="F4" s="12" t="n">
        <v>18</v>
      </c>
      <c r="G4" s="12">
        <f>IF(ISBLANK(C4), "", E4*F4)</f>
        <v/>
      </c>
    </row>
    <row r="5">
      <c r="B5" s="13" t="inlineStr">
        <is>
          <t>3/18/2026</t>
        </is>
      </c>
      <c r="C5" s="14" t="inlineStr">
        <is>
          <t>Eggs (1 Dozen)</t>
        </is>
      </c>
      <c r="D5" s="14" t="inlineStr">
        <is>
          <t>Groceries</t>
        </is>
      </c>
      <c r="E5" s="14" t="n">
        <v>2</v>
      </c>
      <c r="F5" s="12" t="n">
        <v>4</v>
      </c>
      <c r="G5" s="12">
        <f>IF(ISBLANK(C5), "", E5*F5)</f>
        <v/>
      </c>
    </row>
    <row r="6">
      <c r="B6" s="13" t="inlineStr">
        <is>
          <t>3/22/2026</t>
        </is>
      </c>
      <c r="C6" s="14" t="inlineStr">
        <is>
          <t>Trash Bags</t>
        </is>
      </c>
      <c r="D6" s="14" t="inlineStr">
        <is>
          <t>Household</t>
        </is>
      </c>
      <c r="E6" s="14" t="n">
        <v>1</v>
      </c>
      <c r="F6" s="12" t="n">
        <v>10</v>
      </c>
      <c r="G6" s="12">
        <f>IF(ISBLANK(C6), "", E6*F6)</f>
        <v/>
      </c>
    </row>
    <row r="7">
      <c r="B7" s="13" t="n"/>
      <c r="C7" s="14" t="n"/>
      <c r="D7" s="14" t="n"/>
      <c r="E7" s="14" t="n"/>
      <c r="F7" s="12" t="n"/>
      <c r="G7" s="12" t="n"/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15" min="2" max="2"/>
    <col width="10.63" customWidth="1" style="15" min="3" max="3"/>
    <col width="11" customWidth="1" style="15" min="4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Apr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46057</v>
      </c>
      <c r="C3" s="14" t="inlineStr">
        <is>
          <t>Milk (1 Gal)</t>
        </is>
      </c>
      <c r="D3" s="14" t="inlineStr">
        <is>
          <t>Groceries</t>
        </is>
      </c>
      <c r="E3" s="14" t="n">
        <v>2</v>
      </c>
      <c r="F3" s="12" t="n">
        <v>3.5</v>
      </c>
      <c r="G3" s="12">
        <f>IF(ISBLANK(C3), "", E3*F3)</f>
        <v/>
      </c>
    </row>
    <row r="4">
      <c r="B4" s="13" t="n">
        <v>46299</v>
      </c>
      <c r="C4" s="14" t="inlineStr">
        <is>
          <t>Electricity Bill</t>
        </is>
      </c>
      <c r="D4" s="14" t="inlineStr">
        <is>
          <t>Utilities</t>
        </is>
      </c>
      <c r="E4" s="14" t="n">
        <v>1</v>
      </c>
      <c r="F4" s="12" t="n">
        <v>115</v>
      </c>
      <c r="G4" s="12">
        <f>IF(ISBLANK(C4), "", E4*F4)</f>
        <v/>
      </c>
    </row>
    <row r="5">
      <c r="B5" s="13" t="inlineStr">
        <is>
          <t>4/15/2026</t>
        </is>
      </c>
      <c r="C5" s="14" t="inlineStr">
        <is>
          <t>Toothpaste</t>
        </is>
      </c>
      <c r="D5" s="14" t="inlineStr">
        <is>
          <t>Personal Care</t>
        </is>
      </c>
      <c r="E5" s="14" t="n">
        <v>2</v>
      </c>
      <c r="F5" s="12" t="n">
        <v>4.5</v>
      </c>
      <c r="G5" s="12">
        <f>IF(ISBLANK(C5), "", E5*F5)</f>
        <v/>
      </c>
    </row>
    <row r="6">
      <c r="B6" s="13" t="inlineStr">
        <is>
          <t>4/25/2026</t>
        </is>
      </c>
      <c r="C6" s="14" t="inlineStr">
        <is>
          <t>Bananas</t>
        </is>
      </c>
      <c r="D6" s="14" t="inlineStr">
        <is>
          <t>Groceries</t>
        </is>
      </c>
      <c r="E6" s="14" t="n">
        <v>6</v>
      </c>
      <c r="F6" s="12" t="n">
        <v>0.5</v>
      </c>
      <c r="G6" s="12">
        <f>IF(ISBLANK(C6), "", E6*F6)</f>
        <v/>
      </c>
    </row>
    <row r="7">
      <c r="B7" s="13" t="n"/>
      <c r="C7" s="14" t="n"/>
      <c r="D7" s="14" t="n"/>
      <c r="E7" s="14" t="n"/>
      <c r="F7" s="12" t="n"/>
      <c r="G7" s="12" t="n"/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15" min="2" max="2"/>
    <col width="10.63" customWidth="1" style="15" min="3" max="3"/>
    <col width="8.75" customWidth="1" style="15" min="4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May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46027</v>
      </c>
      <c r="C3" s="14" t="inlineStr">
        <is>
          <t>Water Bill</t>
        </is>
      </c>
      <c r="D3" s="14" t="inlineStr">
        <is>
          <t>Utilities</t>
        </is>
      </c>
      <c r="E3" s="14" t="n">
        <v>1</v>
      </c>
      <c r="F3" s="12" t="n">
        <v>48</v>
      </c>
      <c r="G3" s="12">
        <f>IF(ISBLANK(C3), "", E3*F3)</f>
        <v/>
      </c>
    </row>
    <row r="4">
      <c r="B4" s="13" t="n">
        <v>46239</v>
      </c>
      <c r="C4" s="14" t="inlineStr">
        <is>
          <t>Coffee Beans</t>
        </is>
      </c>
      <c r="D4" s="14" t="inlineStr">
        <is>
          <t>Groceries</t>
        </is>
      </c>
      <c r="E4" s="14" t="n">
        <v>1</v>
      </c>
      <c r="F4" s="12" t="n">
        <v>14</v>
      </c>
      <c r="G4" s="12">
        <f>IF(ISBLANK(C4), "", E4*F4)</f>
        <v/>
      </c>
    </row>
    <row r="5">
      <c r="B5" s="13" t="inlineStr">
        <is>
          <t>5/15/2026</t>
        </is>
      </c>
      <c r="C5" s="14" t="inlineStr">
        <is>
          <t>Internet</t>
        </is>
      </c>
      <c r="D5" s="14" t="inlineStr">
        <is>
          <t>Utilities</t>
        </is>
      </c>
      <c r="E5" s="14" t="n">
        <v>1</v>
      </c>
      <c r="F5" s="12" t="n">
        <v>60</v>
      </c>
      <c r="G5" s="12">
        <f>IF(ISBLANK(C5), "", E5*F5)</f>
        <v/>
      </c>
    </row>
    <row r="6">
      <c r="B6" s="13" t="inlineStr">
        <is>
          <t>5/20/2026</t>
        </is>
      </c>
      <c r="C6" s="14" t="inlineStr">
        <is>
          <t>Dish Soap</t>
        </is>
      </c>
      <c r="D6" s="14" t="inlineStr">
        <is>
          <t>Household</t>
        </is>
      </c>
      <c r="E6" s="14" t="n">
        <v>1</v>
      </c>
      <c r="F6" s="12" t="n">
        <v>4</v>
      </c>
      <c r="G6" s="12">
        <f>IF(ISBLANK(C6), "", E6*F6)</f>
        <v/>
      </c>
    </row>
    <row r="7">
      <c r="B7" s="13" t="n"/>
      <c r="C7" s="14" t="n"/>
      <c r="D7" s="14" t="n"/>
      <c r="E7" s="14" t="n"/>
      <c r="F7" s="12" t="n"/>
      <c r="G7" s="12" t="n"/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15" min="2" max="2"/>
    <col width="11" customWidth="1" style="15" min="3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Jun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46148</v>
      </c>
      <c r="C3" s="14" t="inlineStr">
        <is>
          <t>Gas Bill</t>
        </is>
      </c>
      <c r="D3" s="14" t="inlineStr">
        <is>
          <t>Utilities</t>
        </is>
      </c>
      <c r="E3" s="14" t="n">
        <v>1</v>
      </c>
      <c r="F3" s="12" t="n">
        <v>35</v>
      </c>
      <c r="G3" s="12">
        <f>IF(ISBLANK(C3), "", E3*F3)</f>
        <v/>
      </c>
    </row>
    <row r="4">
      <c r="B4" s="13" t="n">
        <v>46362</v>
      </c>
      <c r="C4" s="14" t="inlineStr">
        <is>
          <t>Beef Mince</t>
        </is>
      </c>
      <c r="D4" s="14" t="inlineStr">
        <is>
          <t>Groceries</t>
        </is>
      </c>
      <c r="E4" s="14" t="n">
        <v>2</v>
      </c>
      <c r="F4" s="12" t="n">
        <v>7.5</v>
      </c>
      <c r="G4" s="12">
        <f>IF(ISBLANK(C4), "", E4*F4)</f>
        <v/>
      </c>
    </row>
    <row r="5">
      <c r="B5" s="13" t="inlineStr">
        <is>
          <t>6/18/2026</t>
        </is>
      </c>
      <c r="C5" s="14" t="inlineStr">
        <is>
          <t>Shampoo</t>
        </is>
      </c>
      <c r="D5" s="14" t="inlineStr">
        <is>
          <t>Personal Care</t>
        </is>
      </c>
      <c r="E5" s="14" t="n">
        <v>1</v>
      </c>
      <c r="F5" s="12" t="n">
        <v>6</v>
      </c>
      <c r="G5" s="12">
        <f>IF(ISBLANK(C5), "", E5*F5)</f>
        <v/>
      </c>
    </row>
    <row r="6">
      <c r="B6" s="13" t="inlineStr">
        <is>
          <t>6/25/2026</t>
        </is>
      </c>
      <c r="C6" s="14" t="inlineStr">
        <is>
          <t>Batteries (AA)</t>
        </is>
      </c>
      <c r="D6" s="14" t="inlineStr">
        <is>
          <t>Electronics</t>
        </is>
      </c>
      <c r="E6" s="14" t="n">
        <v>1</v>
      </c>
      <c r="F6" s="12" t="n">
        <v>15</v>
      </c>
      <c r="G6" s="12">
        <f>IF(ISBLANK(C6), "", E6*F6)</f>
        <v/>
      </c>
    </row>
    <row r="7">
      <c r="B7" s="13" t="n"/>
      <c r="C7" s="14" t="n"/>
      <c r="D7" s="14" t="n"/>
      <c r="E7" s="14" t="n"/>
      <c r="F7" s="12" t="n"/>
      <c r="G7" s="12" t="n"/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15" min="2" max="2"/>
    <col width="10.63" customWidth="1" style="15" min="3" max="3"/>
    <col width="11" customWidth="1" style="15" min="4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Jul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46088</v>
      </c>
      <c r="C3" s="14" t="inlineStr">
        <is>
          <t>Milk (1 Gal)</t>
        </is>
      </c>
      <c r="D3" s="14" t="inlineStr">
        <is>
          <t>Groceries</t>
        </is>
      </c>
      <c r="E3" s="14" t="n">
        <v>2</v>
      </c>
      <c r="F3" s="12" t="n">
        <v>3.5</v>
      </c>
      <c r="G3" s="12">
        <f>IF(ISBLANK(C3), "", E3*F3)</f>
        <v/>
      </c>
    </row>
    <row r="4">
      <c r="B4" s="13" t="n">
        <v>46302</v>
      </c>
      <c r="C4" s="14" t="inlineStr">
        <is>
          <t>Electricity Bill</t>
        </is>
      </c>
      <c r="D4" s="14" t="inlineStr">
        <is>
          <t>Utilities</t>
        </is>
      </c>
      <c r="E4" s="14" t="n">
        <v>1</v>
      </c>
      <c r="F4" s="12" t="n">
        <v>150</v>
      </c>
      <c r="G4" s="12">
        <f>IF(ISBLANK(C4), "", E4*F4)</f>
        <v/>
      </c>
    </row>
    <row r="5">
      <c r="B5" s="13" t="inlineStr">
        <is>
          <t>7/15/2026</t>
        </is>
      </c>
      <c r="C5" s="14" t="inlineStr">
        <is>
          <t>Sunscreen</t>
        </is>
      </c>
      <c r="D5" s="14" t="inlineStr">
        <is>
          <t>Personal Care</t>
        </is>
      </c>
      <c r="E5" s="14" t="n">
        <v>1</v>
      </c>
      <c r="F5" s="12" t="n">
        <v>12</v>
      </c>
      <c r="G5" s="12">
        <f>IF(ISBLANK(C5), "", E5*F5)</f>
        <v/>
      </c>
    </row>
    <row r="6">
      <c r="B6" s="13" t="inlineStr">
        <is>
          <t>7/22/2026</t>
        </is>
      </c>
      <c r="C6" s="14" t="inlineStr">
        <is>
          <t>Pasta</t>
        </is>
      </c>
      <c r="D6" s="14" t="inlineStr">
        <is>
          <t>Groceries</t>
        </is>
      </c>
      <c r="E6" s="14" t="n">
        <v>4</v>
      </c>
      <c r="F6" s="12" t="n">
        <v>1.5</v>
      </c>
      <c r="G6" s="12">
        <f>IF(ISBLANK(C6), "", E6*F6)</f>
        <v/>
      </c>
    </row>
    <row r="7">
      <c r="B7" s="13" t="n"/>
      <c r="C7" s="14" t="n"/>
      <c r="D7" s="14" t="n"/>
      <c r="E7" s="14" t="n"/>
      <c r="F7" s="12" t="n"/>
      <c r="G7" s="12" t="n"/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15" min="2" max="2"/>
    <col width="9.5" customWidth="1" style="15" min="3" max="3"/>
    <col width="9" customWidth="1" style="15" min="4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Aug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46061</v>
      </c>
      <c r="C3" s="14" t="inlineStr">
        <is>
          <t>Water Bill</t>
        </is>
      </c>
      <c r="D3" s="14" t="inlineStr">
        <is>
          <t>Utilities</t>
        </is>
      </c>
      <c r="E3" s="14" t="n">
        <v>1</v>
      </c>
      <c r="F3" s="12" t="n">
        <v>55</v>
      </c>
      <c r="G3" s="12">
        <f>IF(ISBLANK(C3), "", E3*F3)</f>
        <v/>
      </c>
    </row>
    <row r="4">
      <c r="B4" s="13" t="n">
        <v>46273</v>
      </c>
      <c r="C4" s="14" t="inlineStr">
        <is>
          <t>Cereal</t>
        </is>
      </c>
      <c r="D4" s="14" t="inlineStr">
        <is>
          <t>Groceries</t>
        </is>
      </c>
      <c r="E4" s="14" t="n">
        <v>2</v>
      </c>
      <c r="F4" s="12" t="n">
        <v>4.5</v>
      </c>
      <c r="G4" s="12">
        <f>IF(ISBLANK(C4), "", E4*F4)</f>
        <v/>
      </c>
    </row>
    <row r="5">
      <c r="B5" s="13" t="inlineStr">
        <is>
          <t>8/15/2026</t>
        </is>
      </c>
      <c r="C5" s="14" t="inlineStr">
        <is>
          <t>Internet</t>
        </is>
      </c>
      <c r="D5" s="14" t="inlineStr">
        <is>
          <t>Utilities</t>
        </is>
      </c>
      <c r="E5" s="14" t="n">
        <v>1</v>
      </c>
      <c r="F5" s="12" t="n">
        <v>60</v>
      </c>
      <c r="G5" s="12">
        <f>IF(ISBLANK(C5), "", E5*F5)</f>
        <v/>
      </c>
    </row>
    <row r="6">
      <c r="B6" s="13" t="inlineStr">
        <is>
          <t>8/20/2026</t>
        </is>
      </c>
      <c r="C6" s="14" t="inlineStr">
        <is>
          <t>Toilet Paper</t>
        </is>
      </c>
      <c r="D6" s="14" t="inlineStr">
        <is>
          <t>Household</t>
        </is>
      </c>
      <c r="E6" s="14" t="n">
        <v>1</v>
      </c>
      <c r="F6" s="12" t="n">
        <v>20</v>
      </c>
      <c r="G6" s="12">
        <f>IF(ISBLANK(C6), "", E6*F6)</f>
        <v/>
      </c>
    </row>
    <row r="7">
      <c r="B7" s="13" t="inlineStr">
        <is>
          <t>8/28/2026</t>
        </is>
      </c>
      <c r="C7" s="14" t="inlineStr">
        <is>
          <t>HDMI Cable</t>
        </is>
      </c>
      <c r="D7" s="14" t="inlineStr">
        <is>
          <t>Electronics</t>
        </is>
      </c>
      <c r="E7" s="14" t="n">
        <v>1</v>
      </c>
      <c r="F7" s="12" t="n">
        <v>10</v>
      </c>
      <c r="G7" s="12">
        <f>IF(ISBLANK(C7), "", E7*F7)</f>
        <v/>
      </c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15" min="2" max="2"/>
    <col width="11.75" customWidth="1" style="15" min="3" max="3"/>
    <col width="11" customWidth="1" style="15" min="4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Sep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46151</v>
      </c>
      <c r="C3" s="14" t="inlineStr">
        <is>
          <t>Gas Bill</t>
        </is>
      </c>
      <c r="D3" s="14" t="inlineStr">
        <is>
          <t>Utilities</t>
        </is>
      </c>
      <c r="E3" s="14" t="n">
        <v>1</v>
      </c>
      <c r="F3" s="12" t="n">
        <v>40</v>
      </c>
      <c r="G3" s="12">
        <f>IF(ISBLANK(C3), "", E3*F3)</f>
        <v/>
      </c>
    </row>
    <row r="4">
      <c r="B4" s="13" t="n">
        <v>46365</v>
      </c>
      <c r="C4" s="14" t="inlineStr">
        <is>
          <t>Chicken Breast</t>
        </is>
      </c>
      <c r="D4" s="14" t="inlineStr">
        <is>
          <t>Groceries</t>
        </is>
      </c>
      <c r="E4" s="14" t="n">
        <v>2</v>
      </c>
      <c r="F4" s="12" t="n">
        <v>8</v>
      </c>
      <c r="G4" s="12">
        <f>IF(ISBLANK(C4), "", E4*F4)</f>
        <v/>
      </c>
    </row>
    <row r="5">
      <c r="B5" s="13" t="inlineStr">
        <is>
          <t>9/18/2026</t>
        </is>
      </c>
      <c r="C5" s="14" t="inlineStr">
        <is>
          <t>Hand Soap</t>
        </is>
      </c>
      <c r="D5" s="14" t="inlineStr">
        <is>
          <t>Personal Care</t>
        </is>
      </c>
      <c r="E5" s="14" t="n">
        <v>2</v>
      </c>
      <c r="F5" s="12" t="n">
        <v>3</v>
      </c>
      <c r="G5" s="12">
        <f>IF(ISBLANK(C5), "", E5*F5)</f>
        <v/>
      </c>
    </row>
    <row r="6">
      <c r="B6" s="13" t="inlineStr">
        <is>
          <t>9/25/2026</t>
        </is>
      </c>
      <c r="C6" s="14" t="inlineStr">
        <is>
          <t>Air Filters</t>
        </is>
      </c>
      <c r="D6" s="14" t="inlineStr">
        <is>
          <t>Maintenance</t>
        </is>
      </c>
      <c r="E6" s="14" t="n">
        <v>2</v>
      </c>
      <c r="F6" s="12" t="n">
        <v>15</v>
      </c>
      <c r="G6" s="12">
        <f>IF(ISBLANK(C6), "", E6*F6)</f>
        <v/>
      </c>
    </row>
    <row r="7">
      <c r="B7" s="13" t="n"/>
      <c r="C7" s="14" t="n"/>
      <c r="D7" s="14" t="n"/>
      <c r="E7" s="14" t="n"/>
      <c r="F7" s="12" t="n"/>
      <c r="G7" s="12" t="n"/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9.630000000000001" customWidth="1" style="15" min="2" max="2"/>
    <col width="13.5" customWidth="1" style="15" min="3" max="3"/>
    <col width="8.75" customWidth="1" style="15" min="4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Oct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46063</v>
      </c>
      <c r="C3" s="14" t="inlineStr">
        <is>
          <t>Milk (1 Gal)</t>
        </is>
      </c>
      <c r="D3" s="14" t="inlineStr">
        <is>
          <t>Groceries</t>
        </is>
      </c>
      <c r="E3" s="14" t="n">
        <v>2</v>
      </c>
      <c r="F3" s="12" t="n">
        <v>3.5</v>
      </c>
      <c r="G3" s="12">
        <f>IF(ISBLANK(C3), "", E3*F3)</f>
        <v/>
      </c>
    </row>
    <row r="4">
      <c r="B4" s="13" t="n">
        <v>46305</v>
      </c>
      <c r="C4" s="14" t="inlineStr">
        <is>
          <t>Electricity Bill</t>
        </is>
      </c>
      <c r="D4" s="14" t="inlineStr">
        <is>
          <t>Utilities</t>
        </is>
      </c>
      <c r="E4" s="14" t="n">
        <v>1</v>
      </c>
      <c r="F4" s="12" t="n">
        <v>110</v>
      </c>
      <c r="G4" s="12">
        <f>IF(ISBLANK(C4), "", E4*F4)</f>
        <v/>
      </c>
    </row>
    <row r="5">
      <c r="B5" s="13" t="inlineStr">
        <is>
          <t>10/15/2026</t>
        </is>
      </c>
      <c r="C5" s="14" t="inlineStr">
        <is>
          <t>Halloween Candy</t>
        </is>
      </c>
      <c r="D5" s="14" t="inlineStr">
        <is>
          <t>Groceries</t>
        </is>
      </c>
      <c r="E5" s="14" t="n">
        <v>3</v>
      </c>
      <c r="F5" s="12" t="n">
        <v>6</v>
      </c>
      <c r="G5" s="12">
        <f>IF(ISBLANK(C5), "", E5*F5)</f>
        <v/>
      </c>
    </row>
    <row r="6">
      <c r="B6" s="13" t="inlineStr">
        <is>
          <t>10/22/2026</t>
        </is>
      </c>
      <c r="C6" s="14" t="inlineStr">
        <is>
          <t>Sponges</t>
        </is>
      </c>
      <c r="D6" s="14" t="inlineStr">
        <is>
          <t>Household</t>
        </is>
      </c>
      <c r="E6" s="14" t="n">
        <v>1</v>
      </c>
      <c r="F6" s="12" t="n">
        <v>5</v>
      </c>
      <c r="G6" s="12">
        <f>IF(ISBLANK(C6), "", E6*F6)</f>
        <v/>
      </c>
    </row>
    <row r="7">
      <c r="B7" s="13" t="n"/>
      <c r="C7" s="14" t="n"/>
      <c r="D7" s="14" t="n"/>
      <c r="E7" s="14" t="n"/>
      <c r="F7" s="12" t="n"/>
      <c r="G7" s="12" t="n"/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9.630000000000001" customWidth="1" style="15" min="2" max="2"/>
    <col width="9" customWidth="1" style="15" min="3" max="3"/>
    <col width="8.75" customWidth="1" style="15" min="4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Nov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46033</v>
      </c>
      <c r="C3" s="14" t="inlineStr">
        <is>
          <t>Water Bill</t>
        </is>
      </c>
      <c r="D3" s="14" t="inlineStr">
        <is>
          <t>Utilities</t>
        </is>
      </c>
      <c r="E3" s="14" t="n">
        <v>1</v>
      </c>
      <c r="F3" s="12" t="n">
        <v>45</v>
      </c>
      <c r="G3" s="12">
        <f>IF(ISBLANK(C3), "", E3*F3)</f>
        <v/>
      </c>
    </row>
    <row r="4">
      <c r="B4" s="13" t="n">
        <v>46245</v>
      </c>
      <c r="C4" s="14" t="inlineStr">
        <is>
          <t>Turkey</t>
        </is>
      </c>
      <c r="D4" s="14" t="inlineStr">
        <is>
          <t>Groceries</t>
        </is>
      </c>
      <c r="E4" s="14" t="n">
        <v>1</v>
      </c>
      <c r="F4" s="12" t="n">
        <v>25</v>
      </c>
      <c r="G4" s="12">
        <f>IF(ISBLANK(C4), "", E4*F4)</f>
        <v/>
      </c>
    </row>
    <row r="5">
      <c r="B5" s="13" t="inlineStr">
        <is>
          <t>11/15/2026</t>
        </is>
      </c>
      <c r="C5" s="14" t="inlineStr">
        <is>
          <t>Internet</t>
        </is>
      </c>
      <c r="D5" s="14" t="inlineStr">
        <is>
          <t>Utilities</t>
        </is>
      </c>
      <c r="E5" s="14" t="n">
        <v>1</v>
      </c>
      <c r="F5" s="12" t="n">
        <v>60</v>
      </c>
      <c r="G5" s="12">
        <f>IF(ISBLANK(C5), "", E5*F5)</f>
        <v/>
      </c>
    </row>
    <row r="6">
      <c r="B6" s="13" t="inlineStr">
        <is>
          <t>11/20/2026</t>
        </is>
      </c>
      <c r="C6" s="14" t="inlineStr">
        <is>
          <t>Tissues</t>
        </is>
      </c>
      <c r="D6" s="14" t="inlineStr">
        <is>
          <t>Household</t>
        </is>
      </c>
      <c r="E6" s="14" t="n">
        <v>2</v>
      </c>
      <c r="F6" s="12" t="n">
        <v>4</v>
      </c>
      <c r="G6" s="12">
        <f>IF(ISBLANK(C6), "", E6*F6)</f>
        <v/>
      </c>
    </row>
    <row r="7">
      <c r="B7" s="13" t="n"/>
      <c r="C7" s="14" t="n"/>
      <c r="D7" s="14" t="n"/>
      <c r="E7" s="14" t="n"/>
      <c r="F7" s="12" t="n"/>
      <c r="G7" s="12" t="n"/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G20"/>
  <sheetViews>
    <sheetView showGridLines="0" workbookViewId="0">
      <selection activeCell="A1" sqref="A1"/>
    </sheetView>
  </sheetViews>
  <sheetFormatPr baseColWidth="8" defaultColWidth="12.63" defaultRowHeight="15.75" customHeight="1"/>
  <cols>
    <col width="9.630000000000001" customWidth="1" style="15" min="2" max="2"/>
    <col width="12.38" customWidth="1" style="15" min="3" max="3"/>
    <col width="11.38" customWidth="1" style="15" min="4" max="4"/>
    <col width="7.13" customWidth="1" style="15" min="5" max="5"/>
    <col width="8.130000000000001" customWidth="1" style="15" min="6" max="6"/>
    <col width="8.380000000000001" customWidth="1" style="15" min="7" max="7"/>
  </cols>
  <sheetData>
    <row r="1">
      <c r="A1" t="inlineStr">
        <is>
          <t>Dec</t>
        </is>
      </c>
    </row>
    <row r="2">
      <c r="B2" s="7" t="inlineStr">
        <is>
          <t>Date</t>
        </is>
      </c>
      <c r="C2" s="7" t="inlineStr">
        <is>
          <t>Item Name</t>
        </is>
      </c>
      <c r="D2" s="7" t="inlineStr">
        <is>
          <t>Category</t>
        </is>
      </c>
      <c r="E2" s="7" t="inlineStr">
        <is>
          <t>Quantity</t>
        </is>
      </c>
      <c r="F2" s="7" t="inlineStr">
        <is>
          <t>Unit Price</t>
        </is>
      </c>
      <c r="G2" s="7" t="inlineStr">
        <is>
          <t>Total Cost</t>
        </is>
      </c>
    </row>
    <row r="3">
      <c r="B3" s="13" t="n">
        <v>46154</v>
      </c>
      <c r="C3" s="14" t="inlineStr">
        <is>
          <t>Gas Bill</t>
        </is>
      </c>
      <c r="D3" s="14" t="inlineStr">
        <is>
          <t>Utilities</t>
        </is>
      </c>
      <c r="E3" s="14" t="n">
        <v>1</v>
      </c>
      <c r="F3" s="12" t="n">
        <v>95</v>
      </c>
      <c r="G3" s="12">
        <f>IF(ISBLANK(C3), "", E3*F3)</f>
        <v/>
      </c>
    </row>
    <row r="4">
      <c r="B4" s="13" t="n">
        <v>46368</v>
      </c>
      <c r="C4" s="14" t="inlineStr">
        <is>
          <t>Wrapping Paper</t>
        </is>
      </c>
      <c r="D4" s="14" t="inlineStr">
        <is>
          <t>Miscellaneous</t>
        </is>
      </c>
      <c r="E4" s="14" t="n">
        <v>3</v>
      </c>
      <c r="F4" s="12" t="n">
        <v>5</v>
      </c>
      <c r="G4" s="12">
        <f>IF(ISBLANK(C4), "", E4*F4)</f>
        <v/>
      </c>
    </row>
    <row r="5">
      <c r="B5" s="13" t="inlineStr">
        <is>
          <t>12/18/2026</t>
        </is>
      </c>
      <c r="C5" s="14" t="inlineStr">
        <is>
          <t>Potatoes</t>
        </is>
      </c>
      <c r="D5" s="14" t="inlineStr">
        <is>
          <t>Groceries</t>
        </is>
      </c>
      <c r="E5" s="14" t="n">
        <v>1</v>
      </c>
      <c r="F5" s="12" t="n">
        <v>4</v>
      </c>
      <c r="G5" s="12">
        <f>IF(ISBLANK(C5), "", E5*F5)</f>
        <v/>
      </c>
    </row>
    <row r="6">
      <c r="B6" s="13" t="inlineStr">
        <is>
          <t>12/22/2026</t>
        </is>
      </c>
      <c r="C6" s="14" t="inlineStr">
        <is>
          <t>Electricity Bill</t>
        </is>
      </c>
      <c r="D6" s="14" t="inlineStr">
        <is>
          <t>Utilities</t>
        </is>
      </c>
      <c r="E6" s="14" t="n">
        <v>1</v>
      </c>
      <c r="F6" s="12" t="n">
        <v>130</v>
      </c>
      <c r="G6" s="12">
        <f>IF(ISBLANK(C6), "", E6*F6)</f>
        <v/>
      </c>
    </row>
    <row r="7">
      <c r="B7" s="13" t="inlineStr">
        <is>
          <t>12/28/2026</t>
        </is>
      </c>
      <c r="C7" s="14" t="inlineStr">
        <is>
          <t>Batteries (AAA)</t>
        </is>
      </c>
      <c r="D7" s="14" t="inlineStr">
        <is>
          <t>Electronics</t>
        </is>
      </c>
      <c r="E7" s="14" t="n">
        <v>1</v>
      </c>
      <c r="F7" s="12" t="n">
        <v>12</v>
      </c>
      <c r="G7" s="12">
        <f>IF(ISBLANK(C7), "", E7*F7)</f>
        <v/>
      </c>
    </row>
    <row r="8">
      <c r="B8" s="13" t="n"/>
      <c r="C8" s="14" t="n"/>
      <c r="D8" s="14" t="n"/>
      <c r="E8" s="14" t="n"/>
      <c r="F8" s="12" t="n"/>
      <c r="G8" s="12" t="n"/>
    </row>
    <row r="9">
      <c r="B9" s="13" t="n"/>
      <c r="C9" s="14" t="n"/>
      <c r="D9" s="14" t="n"/>
      <c r="E9" s="14" t="n"/>
      <c r="F9" s="12" t="n"/>
      <c r="G9" s="12" t="n"/>
    </row>
    <row r="10">
      <c r="B10" s="13" t="n"/>
      <c r="C10" s="14" t="n"/>
      <c r="D10" s="14" t="n"/>
      <c r="E10" s="14" t="n"/>
      <c r="F10" s="12" t="n"/>
      <c r="G10" s="12" t="n"/>
    </row>
    <row r="11">
      <c r="B11" s="13" t="n"/>
      <c r="C11" s="14" t="n"/>
      <c r="D11" s="14" t="n"/>
      <c r="E11" s="14" t="n"/>
      <c r="F11" s="12" t="n"/>
      <c r="G11" s="12" t="n"/>
    </row>
    <row r="12">
      <c r="B12" s="13" t="n"/>
      <c r="C12" s="14" t="n"/>
      <c r="D12" s="14" t="n"/>
      <c r="E12" s="14" t="n"/>
      <c r="F12" s="12" t="n"/>
      <c r="G12" s="12" t="n"/>
    </row>
    <row r="13">
      <c r="B13" s="13" t="n"/>
      <c r="C13" s="14" t="n"/>
      <c r="D13" s="14" t="n"/>
      <c r="E13" s="14" t="n"/>
      <c r="F13" s="12" t="n"/>
      <c r="G13" s="12" t="n"/>
    </row>
    <row r="14">
      <c r="B14" s="13" t="n"/>
      <c r="C14" s="14" t="n"/>
      <c r="D14" s="14" t="n"/>
      <c r="E14" s="14" t="n"/>
      <c r="F14" s="12" t="n"/>
      <c r="G14" s="12" t="n"/>
    </row>
    <row r="15">
      <c r="B15" s="13" t="n"/>
      <c r="C15" s="14" t="n"/>
      <c r="D15" s="14" t="n"/>
      <c r="E15" s="14" t="n"/>
      <c r="F15" s="12" t="n"/>
      <c r="G15" s="12" t="n"/>
    </row>
    <row r="16">
      <c r="B16" s="13" t="n"/>
      <c r="C16" s="14" t="n"/>
      <c r="D16" s="14" t="n"/>
      <c r="E16" s="14" t="n"/>
      <c r="F16" s="12" t="n"/>
      <c r="G16" s="12" t="n"/>
    </row>
    <row r="17">
      <c r="B17" s="13" t="n"/>
      <c r="C17" s="14" t="n"/>
      <c r="D17" s="14" t="n"/>
      <c r="E17" s="14" t="n"/>
      <c r="F17" s="12" t="n"/>
      <c r="G17" s="12" t="n"/>
    </row>
    <row r="18">
      <c r="B18" s="13" t="n"/>
      <c r="C18" s="14" t="n"/>
      <c r="D18" s="14" t="n"/>
      <c r="E18" s="14" t="n"/>
      <c r="F18" s="12" t="n"/>
      <c r="G18" s="12" t="n"/>
    </row>
    <row r="19">
      <c r="B19" s="13" t="n"/>
      <c r="C19" s="14" t="n"/>
      <c r="D19" s="14" t="n"/>
      <c r="E19" s="14" t="n"/>
      <c r="F19" s="12" t="n"/>
      <c r="G19" s="12" t="n"/>
    </row>
    <row r="20">
      <c r="B20" s="13" t="n"/>
      <c r="C20" s="14" t="n"/>
      <c r="D20" s="14" t="n"/>
      <c r="E20" s="14" t="n"/>
      <c r="F20" s="12" t="n"/>
      <c r="G2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2026-06-05T10:49:12Z</dcterms:created>
  <dcterms:modified xmlns:dcterms="http://purl.org/dc/terms/" xmlns:xsi="http://www.w3.org/2001/XMLSchema-instance" xsi:type="dcterms:W3CDTF">2026-06-05T10:49:12Z</dcterms:modified>
</cp:coreProperties>
</file>